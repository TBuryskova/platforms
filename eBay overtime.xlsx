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reza Hofrichterová\Documents\CERGE-EI\Other computers\Moje PC\CERGE-EI\Research\Vinted\"/>
    </mc:Choice>
  </mc:AlternateContent>
  <bookViews>
    <workbookView xWindow="0" yWindow="0" windowWidth="22980" windowHeight="6390"/>
  </bookViews>
  <sheets>
    <sheet name="AukroViceMetrik" sheetId="6" r:id="rId1"/>
    <sheet name="AukroVíceMetrik_Raw" sheetId="5" r:id="rId2"/>
    <sheet name="eBay overtime" sheetId="1" r:id="rId3"/>
    <sheet name="AukroPokus3" sheetId="4" r:id="rId4"/>
    <sheet name="AukroPokus1" sheetId="2" r:id="rId5"/>
    <sheet name="Aukropokus2" sheetId="3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" i="6" l="1"/>
  <c r="H21" i="6"/>
  <c r="H22" i="6"/>
  <c r="H23" i="6"/>
  <c r="H24" i="6"/>
  <c r="H25" i="6"/>
  <c r="H26" i="6"/>
  <c r="H27" i="6"/>
  <c r="H28" i="6"/>
  <c r="H29" i="6"/>
  <c r="H30" i="6"/>
  <c r="G30" i="6"/>
  <c r="G21" i="6"/>
  <c r="G22" i="6"/>
  <c r="G23" i="6"/>
  <c r="G24" i="6"/>
  <c r="G25" i="6"/>
  <c r="G26" i="6"/>
  <c r="G27" i="6"/>
  <c r="G28" i="6"/>
  <c r="G29" i="6"/>
  <c r="G20" i="6"/>
  <c r="G19" i="6"/>
  <c r="H19" i="6"/>
  <c r="B20" i="6"/>
  <c r="C20" i="6"/>
  <c r="D20" i="6"/>
  <c r="E20" i="6"/>
  <c r="F20" i="6"/>
  <c r="B21" i="6"/>
  <c r="C21" i="6"/>
  <c r="D21" i="6"/>
  <c r="E21" i="6"/>
  <c r="F21" i="6"/>
  <c r="B22" i="6"/>
  <c r="C22" i="6"/>
  <c r="D22" i="6"/>
  <c r="E22" i="6"/>
  <c r="F22" i="6"/>
  <c r="B23" i="6"/>
  <c r="C23" i="6"/>
  <c r="D23" i="6"/>
  <c r="E23" i="6"/>
  <c r="F23" i="6"/>
  <c r="B24" i="6"/>
  <c r="C24" i="6"/>
  <c r="D24" i="6"/>
  <c r="E24" i="6"/>
  <c r="F24" i="6"/>
  <c r="B25" i="6"/>
  <c r="C25" i="6"/>
  <c r="D25" i="6"/>
  <c r="E25" i="6"/>
  <c r="F25" i="6"/>
  <c r="B26" i="6"/>
  <c r="C26" i="6"/>
  <c r="D26" i="6"/>
  <c r="E26" i="6"/>
  <c r="F26" i="6"/>
  <c r="B27" i="6"/>
  <c r="C27" i="6"/>
  <c r="D27" i="6"/>
  <c r="E27" i="6"/>
  <c r="F27" i="6"/>
  <c r="B28" i="6"/>
  <c r="C28" i="6"/>
  <c r="D28" i="6"/>
  <c r="E28" i="6"/>
  <c r="F28" i="6"/>
  <c r="B29" i="6"/>
  <c r="C29" i="6"/>
  <c r="D29" i="6"/>
  <c r="E29" i="6"/>
  <c r="F29" i="6"/>
  <c r="B30" i="6"/>
  <c r="C30" i="6"/>
  <c r="D30" i="6"/>
  <c r="E30" i="6"/>
  <c r="F30" i="6"/>
  <c r="C19" i="6"/>
  <c r="D19" i="6"/>
  <c r="E19" i="6"/>
  <c r="F19" i="6"/>
  <c r="B19" i="6"/>
  <c r="C16" i="6"/>
  <c r="D16" i="6"/>
  <c r="E16" i="6"/>
  <c r="F16" i="6"/>
  <c r="G16" i="6"/>
  <c r="H16" i="6"/>
  <c r="B16" i="6"/>
  <c r="C15" i="6"/>
  <c r="D15" i="6"/>
  <c r="E15" i="6"/>
  <c r="F15" i="6"/>
  <c r="G15" i="6"/>
  <c r="H15" i="6"/>
  <c r="B15" i="6"/>
  <c r="C14" i="6"/>
  <c r="D14" i="6"/>
  <c r="E14" i="6"/>
  <c r="F14" i="6"/>
  <c r="G14" i="6"/>
  <c r="H14" i="6"/>
  <c r="B14" i="6"/>
  <c r="C11" i="4" l="1"/>
  <c r="C2" i="4"/>
  <c r="C3" i="4"/>
  <c r="C4" i="4"/>
  <c r="C5" i="4"/>
  <c r="C6" i="4"/>
  <c r="C7" i="4"/>
  <c r="C8" i="4"/>
  <c r="C9" i="4"/>
  <c r="K1" i="2" l="1"/>
  <c r="L1" i="2"/>
  <c r="K8" i="2"/>
  <c r="L8" i="2"/>
  <c r="K17" i="2"/>
  <c r="L17" i="2"/>
  <c r="K26" i="2"/>
  <c r="L26" i="2"/>
  <c r="K35" i="2"/>
  <c r="L35" i="2"/>
  <c r="K44" i="2"/>
  <c r="L44" i="2"/>
  <c r="K52" i="2"/>
  <c r="L52" i="2"/>
  <c r="K60" i="2"/>
  <c r="L60" i="2"/>
  <c r="D5" i="1" l="1"/>
  <c r="D3" i="1"/>
  <c r="D4" i="1"/>
  <c r="D6" i="1"/>
  <c r="D7" i="1"/>
  <c r="D2" i="1"/>
  <c r="D11" i="1"/>
  <c r="D10" i="1"/>
  <c r="D9" i="1"/>
  <c r="D8" i="1"/>
  <c r="D15" i="1"/>
  <c r="D14" i="1"/>
  <c r="D13" i="1"/>
  <c r="D12" i="1"/>
  <c r="D19" i="1"/>
  <c r="D18" i="1"/>
  <c r="D17" i="1"/>
  <c r="D16" i="1"/>
  <c r="D23" i="1"/>
  <c r="D22" i="1"/>
  <c r="D20" i="1"/>
</calcChain>
</file>

<file path=xl/sharedStrings.xml><?xml version="1.0" encoding="utf-8"?>
<sst xmlns="http://schemas.openxmlformats.org/spreadsheetml/2006/main" count="356" uniqueCount="94">
  <si>
    <t>fee</t>
  </si>
  <si>
    <t>n different fees</t>
  </si>
  <si>
    <t>1.4.2018</t>
  </si>
  <si>
    <t>1.7.2018</t>
  </si>
  <si>
    <t>1.4.2019</t>
  </si>
  <si>
    <t>1.7.2019</t>
  </si>
  <si>
    <t>1.4.2020</t>
  </si>
  <si>
    <t>1.10.2019</t>
  </si>
  <si>
    <t>1.1.2019</t>
  </si>
  <si>
    <t>1.10.2018</t>
  </si>
  <si>
    <t>1.1.2020</t>
  </si>
  <si>
    <t>1.7.2020</t>
  </si>
  <si>
    <t>1.10.2020</t>
  </si>
  <si>
    <t>1.1.2021</t>
  </si>
  <si>
    <t>1.4.2021</t>
  </si>
  <si>
    <t>1.7.2021</t>
  </si>
  <si>
    <t>1.10.2021</t>
  </si>
  <si>
    <t>1.1.2022</t>
  </si>
  <si>
    <t>1.4.2022</t>
  </si>
  <si>
    <t>1.7.2022</t>
  </si>
  <si>
    <t>1.10.2022</t>
  </si>
  <si>
    <t>1.1.2023</t>
  </si>
  <si>
    <t>1.4.2023</t>
  </si>
  <si>
    <t>1.7.2023</t>
  </si>
  <si>
    <t>1.10.2023</t>
  </si>
  <si>
    <t>1.1.2024</t>
  </si>
  <si>
    <t>1.4.2024</t>
  </si>
  <si>
    <t>1.7.2024</t>
  </si>
  <si>
    <t>1.10.2024</t>
  </si>
  <si>
    <t>1.1.2025</t>
  </si>
  <si>
    <t>1.4.2025</t>
  </si>
  <si>
    <t>1.7.2025</t>
  </si>
  <si>
    <t>1.10.2025</t>
  </si>
  <si>
    <t>1.1.2026</t>
  </si>
  <si>
    <t>% ad profit</t>
  </si>
  <si>
    <t>null</t>
  </si>
  <si>
    <t>false</t>
  </si>
  <si>
    <t>(index)</t>
  </si>
  <si>
    <t>pass</t>
  </si>
  <si>
    <t>ad_slots_per_100_listings</t>
  </si>
  <si>
    <t>ad_slots_found</t>
  </si>
  <si>
    <t>organic_listings_found</t>
  </si>
  <si>
    <t>samples_taken</t>
  </si>
  <si>
    <t>zero_ads_observed</t>
  </si>
  <si>
    <t>Iron collectible items</t>
  </si>
  <si>
    <t>Musical instruments</t>
  </si>
  <si>
    <t>Watches</t>
  </si>
  <si>
    <t>Laptops</t>
  </si>
  <si>
    <t>Cofee machines</t>
  </si>
  <si>
    <t>Books</t>
  </si>
  <si>
    <t>Canvas paintings</t>
  </si>
  <si>
    <t>Software</t>
  </si>
  <si>
    <t>Mince od 2011</t>
  </si>
  <si>
    <t>fee P</t>
  </si>
  <si>
    <t>fee B</t>
  </si>
  <si>
    <t>Hudební nástroje</t>
  </si>
  <si>
    <t>ads per 100</t>
  </si>
  <si>
    <t>Drony</t>
  </si>
  <si>
    <t>Automatické kávovary</t>
  </si>
  <si>
    <t>Pánské hodinky</t>
  </si>
  <si>
    <t>Knižní detektivky</t>
  </si>
  <si>
    <t>Mobily Xiaomi</t>
  </si>
  <si>
    <t>Aku vrtačky</t>
  </si>
  <si>
    <t>ads</t>
  </si>
  <si>
    <t>Laboratorní sklo</t>
  </si>
  <si>
    <t>Letní gumy</t>
  </si>
  <si>
    <t>MTB kola</t>
  </si>
  <si>
    <t>grafické karty</t>
  </si>
  <si>
    <t>stolní a společenské hry</t>
  </si>
  <si>
    <t>dámské tenisky</t>
  </si>
  <si>
    <t>metric</t>
  </si>
  <si>
    <t>raw_count</t>
  </si>
  <si>
    <t>3rd-party ads</t>
  </si>
  <si>
    <t>Promo / internal banners</t>
  </si>
  <si>
    <t>Sticky distractions</t>
  </si>
  <si>
    <t>Interruptions in listing stream</t>
  </si>
  <si>
    <t>Distracting viewport area (%)</t>
  </si>
  <si>
    <t>hudební nástroje</t>
  </si>
  <si>
    <t>software</t>
  </si>
  <si>
    <t>mobily Xiaomi</t>
  </si>
  <si>
    <t>letní pneu</t>
  </si>
  <si>
    <t>aku naradi</t>
  </si>
  <si>
    <t>Společenské a deskové hry</t>
  </si>
  <si>
    <t>kytary</t>
  </si>
  <si>
    <t>knižní detektivky</t>
  </si>
  <si>
    <t>pánské hodinky</t>
  </si>
  <si>
    <t>zlaté mince po 2011</t>
  </si>
  <si>
    <t>cathegory</t>
  </si>
  <si>
    <t>category</t>
  </si>
  <si>
    <t>Fee % (Soukromý)</t>
  </si>
  <si>
    <t>Fee % (Podnikatel)</t>
  </si>
  <si>
    <t>mean</t>
  </si>
  <si>
    <t>var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</si>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</sst>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73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1F1F1F"/>
      <name val="Courier New"/>
      <family val="3"/>
      <charset val="238"/>
    </font>
    <font>
      <sz val="9"/>
      <color rgb="FF0842A0"/>
      <name val="Courier New"/>
      <family val="3"/>
      <charset val="238"/>
    </font>
    <font>
      <b/>
      <sz val="9"/>
      <color rgb="FF0842A0"/>
      <name val="Courier New"/>
      <family val="3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D3E3FD"/>
      </left>
      <right/>
      <top/>
      <bottom/>
      <diagonal/>
    </border>
    <border>
      <left/>
      <right/>
      <top/>
      <bottom style="medium">
        <color rgb="FFD3E3FD"/>
      </bottom>
      <diagonal/>
    </border>
    <border>
      <left style="medium">
        <color rgb="FFD3E3FD"/>
      </left>
      <right/>
      <top/>
      <bottom style="medium">
        <color rgb="FFD3E3FD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14" fontId="0" fillId="0" borderId="0" xfId="0" applyNumberFormat="1"/>
    <xf numFmtId="9" fontId="0" fillId="0" borderId="0" xfId="1" applyFont="1"/>
    <xf numFmtId="164" fontId="0" fillId="0" borderId="0" xfId="1" applyNumberFormat="1" applyFont="1"/>
    <xf numFmtId="0" fontId="4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3" fillId="2" borderId="0" xfId="0" applyFont="1" applyFill="1" applyAlignment="1">
      <alignment vertical="top"/>
    </xf>
    <xf numFmtId="0" fontId="2" fillId="0" borderId="0" xfId="0" applyFont="1"/>
    <xf numFmtId="0" fontId="5" fillId="2" borderId="1" xfId="0" applyFont="1" applyFill="1" applyBorder="1" applyAlignment="1">
      <alignment vertical="top"/>
    </xf>
    <xf numFmtId="0" fontId="5" fillId="0" borderId="1" xfId="0" applyFont="1" applyBorder="1" applyAlignment="1">
      <alignment vertical="top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0" fillId="0" borderId="0" xfId="0" applyNumberFormat="1"/>
    <xf numFmtId="173" fontId="0" fillId="0" borderId="0" xfId="0" applyNumberFormat="1"/>
    <xf numFmtId="2" fontId="0" fillId="0" borderId="0" xfId="0" applyNumberFormat="1" applyAlignment="1">
      <alignment vertical="center" wrapText="1"/>
    </xf>
  </cellXfs>
  <cellStyles count="2">
    <cellStyle name="Normální" xfId="0" builtinId="0"/>
    <cellStyle name="Procenta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1789370078740158E-2"/>
          <c:y val="0.18097222222222226"/>
          <c:w val="0.88498840769903764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AukroPokus3!$E$1</c:f>
              <c:strCache>
                <c:ptCount val="1"/>
                <c:pt idx="0">
                  <c:v>fee 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AukroPokus3!$C$2:$C$15</c:f>
              <c:numCache>
                <c:formatCode>0</c:formatCode>
                <c:ptCount val="14"/>
                <c:pt idx="0">
                  <c:v>33</c:v>
                </c:pt>
                <c:pt idx="1">
                  <c:v>31.998000000000001</c:v>
                </c:pt>
                <c:pt idx="2">
                  <c:v>28.998000000000001</c:v>
                </c:pt>
                <c:pt idx="3">
                  <c:v>32.831999999999994</c:v>
                </c:pt>
                <c:pt idx="4">
                  <c:v>31.001999999999999</c:v>
                </c:pt>
                <c:pt idx="5">
                  <c:v>28.998000000000001</c:v>
                </c:pt>
                <c:pt idx="6">
                  <c:v>31.998000000000001</c:v>
                </c:pt>
                <c:pt idx="7">
                  <c:v>31.001999999999999</c:v>
                </c:pt>
                <c:pt idx="8">
                  <c:v>30</c:v>
                </c:pt>
                <c:pt idx="9">
                  <c:v>31.001999999999999</c:v>
                </c:pt>
                <c:pt idx="10" formatCode="General">
                  <c:v>32</c:v>
                </c:pt>
                <c:pt idx="11" formatCode="General">
                  <c:v>26</c:v>
                </c:pt>
                <c:pt idx="12">
                  <c:v>31</c:v>
                </c:pt>
                <c:pt idx="13">
                  <c:v>31</c:v>
                </c:pt>
              </c:numCache>
            </c:numRef>
          </c:xVal>
          <c:yVal>
            <c:numRef>
              <c:f>AukroPokus3!$E$2:$E$15</c:f>
              <c:numCache>
                <c:formatCode>0%</c:formatCode>
                <c:ptCount val="14"/>
                <c:pt idx="0">
                  <c:v>7.4999999999999997E-2</c:v>
                </c:pt>
                <c:pt idx="1">
                  <c:v>7.0000000000000007E-2</c:v>
                </c:pt>
                <c:pt idx="2">
                  <c:v>4.4999999999999998E-2</c:v>
                </c:pt>
                <c:pt idx="3">
                  <c:v>0.1</c:v>
                </c:pt>
                <c:pt idx="4">
                  <c:v>7.4999999999999997E-2</c:v>
                </c:pt>
                <c:pt idx="5">
                  <c:v>6.5000000000000002E-2</c:v>
                </c:pt>
                <c:pt idx="6">
                  <c:v>0.08</c:v>
                </c:pt>
                <c:pt idx="7">
                  <c:v>8.5000000000000006E-2</c:v>
                </c:pt>
                <c:pt idx="8">
                  <c:v>0.1</c:v>
                </c:pt>
                <c:pt idx="9">
                  <c:v>7.0000000000000007E-2</c:v>
                </c:pt>
                <c:pt idx="10">
                  <c:v>0.1</c:v>
                </c:pt>
                <c:pt idx="11">
                  <c:v>7.0000000000000007E-2</c:v>
                </c:pt>
                <c:pt idx="12">
                  <c:v>0.1</c:v>
                </c:pt>
                <c:pt idx="13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91-4505-B106-77CC6272E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3976736"/>
        <c:axId val="1573978816"/>
      </c:scatterChart>
      <c:valAx>
        <c:axId val="1573976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978816"/>
        <c:crosses val="autoZero"/>
        <c:crossBetween val="midCat"/>
      </c:valAx>
      <c:valAx>
        <c:axId val="157397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976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AukroPokus3!$D$1</c:f>
              <c:strCache>
                <c:ptCount val="1"/>
                <c:pt idx="0">
                  <c:v>fee 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AukroPokus3!$B$2:$B$10</c:f>
              <c:numCache>
                <c:formatCode>General</c:formatCode>
                <c:ptCount val="9"/>
                <c:pt idx="0">
                  <c:v>55</c:v>
                </c:pt>
                <c:pt idx="1">
                  <c:v>53.33</c:v>
                </c:pt>
                <c:pt idx="2">
                  <c:v>48.33</c:v>
                </c:pt>
                <c:pt idx="3">
                  <c:v>54.72</c:v>
                </c:pt>
                <c:pt idx="4">
                  <c:v>51.67</c:v>
                </c:pt>
                <c:pt idx="5">
                  <c:v>48.33</c:v>
                </c:pt>
                <c:pt idx="6">
                  <c:v>53.33</c:v>
                </c:pt>
                <c:pt idx="7">
                  <c:v>51.67</c:v>
                </c:pt>
                <c:pt idx="8">
                  <c:v>50</c:v>
                </c:pt>
              </c:numCache>
            </c:numRef>
          </c:xVal>
          <c:yVal>
            <c:numRef>
              <c:f>AukroPokus3!$E$2:$E$10</c:f>
              <c:numCache>
                <c:formatCode>0%</c:formatCode>
                <c:ptCount val="9"/>
                <c:pt idx="0">
                  <c:v>7.4999999999999997E-2</c:v>
                </c:pt>
                <c:pt idx="1">
                  <c:v>7.0000000000000007E-2</c:v>
                </c:pt>
                <c:pt idx="2">
                  <c:v>4.4999999999999998E-2</c:v>
                </c:pt>
                <c:pt idx="3">
                  <c:v>0.1</c:v>
                </c:pt>
                <c:pt idx="4">
                  <c:v>7.4999999999999997E-2</c:v>
                </c:pt>
                <c:pt idx="5">
                  <c:v>6.5000000000000002E-2</c:v>
                </c:pt>
                <c:pt idx="6">
                  <c:v>0.08</c:v>
                </c:pt>
                <c:pt idx="7">
                  <c:v>8.5000000000000006E-2</c:v>
                </c:pt>
                <c:pt idx="8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6A-488B-8F10-792373894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0088751"/>
        <c:axId val="1180085423"/>
      </c:scatterChart>
      <c:valAx>
        <c:axId val="118008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085423"/>
        <c:crosses val="autoZero"/>
        <c:crossBetween val="midCat"/>
      </c:valAx>
      <c:valAx>
        <c:axId val="118008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088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371475</xdr:colOff>
      <xdr:row>0</xdr:row>
      <xdr:rowOff>171450</xdr:rowOff>
    </xdr:from>
    <xdr:to>
      <xdr:col>16</xdr:col>
      <xdr:colOff>66675</xdr:colOff>
      <xdr:row>15</xdr:row>
      <xdr:rowOff>57150</xdr:rowOff>
    </xdr:to>
    <xdr:graphicFrame macro="">
      <xdr:nvGraphicFramePr>
        <xdr:cNvPr id="2" name="Graf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533400</xdr:colOff>
      <xdr:row>0</xdr:row>
      <xdr:rowOff>142875</xdr:rowOff>
    </xdr:from>
    <xdr:to>
      <xdr:col>12</xdr:col>
      <xdr:colOff>228600</xdr:colOff>
      <xdr:row>15</xdr:row>
      <xdr:rowOff>28575</xdr:rowOff>
    </xdr:to>
    <xdr:graphicFrame macro="">
      <xdr:nvGraphicFramePr>
        <xdr:cNvPr id="2" name="Graf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abSelected="1" workbookViewId="0">
      <selection sqref="A1:H13"/>
    </sheetView>
  </sheetViews>
  <sheetFormatPr defaultRowHeight="15" x14ac:dyDescent="0.25"/>
  <cols>
    <col min="1" max="1" width="28.5703125" customWidth="1"/>
    <col min="2" max="2" width="17.140625" customWidth="1"/>
    <col min="3" max="3" width="10.85546875" customWidth="1"/>
    <col min="4" max="4" width="11.5703125" customWidth="1"/>
    <col min="5" max="5" width="15" customWidth="1"/>
    <col min="6" max="6" width="15.5703125" customWidth="1"/>
    <col min="7" max="8" width="14.7109375" bestFit="1" customWidth="1"/>
  </cols>
  <sheetData>
    <row r="1" spans="1:8" ht="45" x14ac:dyDescent="0.25">
      <c r="A1" s="18" t="s">
        <v>88</v>
      </c>
      <c r="B1" s="18" t="s">
        <v>72</v>
      </c>
      <c r="C1" s="18" t="s">
        <v>73</v>
      </c>
      <c r="D1" s="18" t="s">
        <v>74</v>
      </c>
      <c r="E1" s="18" t="s">
        <v>75</v>
      </c>
      <c r="F1" s="18" t="s">
        <v>76</v>
      </c>
      <c r="G1" s="18" t="s">
        <v>89</v>
      </c>
      <c r="H1" s="18" t="s">
        <v>90</v>
      </c>
    </row>
    <row r="2" spans="1:8" x14ac:dyDescent="0.25">
      <c r="A2" s="19" t="s">
        <v>77</v>
      </c>
      <c r="B2" s="19">
        <v>31</v>
      </c>
      <c r="C2" s="19">
        <v>39</v>
      </c>
      <c r="D2" s="19">
        <v>1</v>
      </c>
      <c r="E2" s="19">
        <v>34</v>
      </c>
      <c r="F2" s="19">
        <v>1547.33</v>
      </c>
      <c r="G2" s="19">
        <v>7.5</v>
      </c>
      <c r="H2" s="19">
        <v>7.5</v>
      </c>
    </row>
    <row r="3" spans="1:8" x14ac:dyDescent="0.25">
      <c r="A3" s="19" t="s">
        <v>78</v>
      </c>
      <c r="B3" s="19">
        <v>32</v>
      </c>
      <c r="C3" s="19">
        <v>39</v>
      </c>
      <c r="D3" s="19">
        <v>3</v>
      </c>
      <c r="E3" s="19">
        <v>37</v>
      </c>
      <c r="F3" s="19">
        <v>1545.11</v>
      </c>
      <c r="G3" s="19">
        <v>20</v>
      </c>
      <c r="H3" s="19">
        <v>20</v>
      </c>
    </row>
    <row r="4" spans="1:8" ht="30" x14ac:dyDescent="0.25">
      <c r="A4" s="19" t="s">
        <v>79</v>
      </c>
      <c r="B4" s="19">
        <v>26</v>
      </c>
      <c r="C4" s="19">
        <v>41</v>
      </c>
      <c r="D4" s="19">
        <v>6</v>
      </c>
      <c r="E4" s="19">
        <v>39</v>
      </c>
      <c r="F4" s="19">
        <v>1575.39</v>
      </c>
      <c r="G4" s="19">
        <v>5</v>
      </c>
      <c r="H4" s="19">
        <v>6.5</v>
      </c>
    </row>
    <row r="5" spans="1:8" x14ac:dyDescent="0.25">
      <c r="A5" s="19" t="s">
        <v>80</v>
      </c>
      <c r="B5" s="19">
        <v>30</v>
      </c>
      <c r="C5" s="19">
        <v>40</v>
      </c>
      <c r="D5" s="19">
        <v>3</v>
      </c>
      <c r="E5" s="19">
        <v>33</v>
      </c>
      <c r="F5" s="19">
        <v>1551.62</v>
      </c>
      <c r="G5" s="19">
        <v>6</v>
      </c>
      <c r="H5" s="19">
        <v>7</v>
      </c>
    </row>
    <row r="6" spans="1:8" ht="30" x14ac:dyDescent="0.25">
      <c r="A6" s="19" t="s">
        <v>81</v>
      </c>
      <c r="B6" s="19">
        <v>36</v>
      </c>
      <c r="C6" s="19">
        <v>40</v>
      </c>
      <c r="D6" s="19">
        <v>3</v>
      </c>
      <c r="E6" s="19">
        <v>40</v>
      </c>
      <c r="F6" s="19">
        <v>1531.41</v>
      </c>
      <c r="G6" s="19">
        <v>5</v>
      </c>
      <c r="H6" s="19">
        <v>8</v>
      </c>
    </row>
    <row r="7" spans="1:8" x14ac:dyDescent="0.25">
      <c r="A7" s="19" t="s">
        <v>66</v>
      </c>
      <c r="B7" s="19">
        <v>28</v>
      </c>
      <c r="C7" s="19">
        <v>40</v>
      </c>
      <c r="D7" s="19">
        <v>1</v>
      </c>
      <c r="E7" s="19">
        <v>38</v>
      </c>
      <c r="F7" s="19">
        <v>1576.53</v>
      </c>
      <c r="G7" s="19">
        <v>7</v>
      </c>
      <c r="H7" s="19">
        <v>10</v>
      </c>
    </row>
    <row r="8" spans="1:8" x14ac:dyDescent="0.25">
      <c r="A8" s="19" t="s">
        <v>82</v>
      </c>
      <c r="B8" s="19">
        <v>28</v>
      </c>
      <c r="C8" s="19">
        <v>40</v>
      </c>
      <c r="D8" s="19">
        <v>1</v>
      </c>
      <c r="E8" s="19">
        <v>41</v>
      </c>
      <c r="F8" s="19">
        <v>1541.25</v>
      </c>
      <c r="G8" s="19">
        <v>7</v>
      </c>
      <c r="H8" s="19">
        <v>10</v>
      </c>
    </row>
    <row r="9" spans="1:8" x14ac:dyDescent="0.25">
      <c r="A9" s="19" t="s">
        <v>83</v>
      </c>
      <c r="B9" s="19">
        <v>28</v>
      </c>
      <c r="C9" s="19">
        <v>41</v>
      </c>
      <c r="D9" s="19">
        <v>4</v>
      </c>
      <c r="E9" s="19">
        <v>39</v>
      </c>
      <c r="F9" s="19">
        <v>1578.01</v>
      </c>
      <c r="G9" s="19">
        <v>7.5</v>
      </c>
      <c r="H9" s="19">
        <v>7.5</v>
      </c>
    </row>
    <row r="10" spans="1:8" x14ac:dyDescent="0.25">
      <c r="A10" s="19" t="s">
        <v>84</v>
      </c>
      <c r="B10" s="19">
        <v>16</v>
      </c>
      <c r="C10" s="19">
        <v>39</v>
      </c>
      <c r="D10" s="19">
        <v>4</v>
      </c>
      <c r="E10" s="19">
        <v>27</v>
      </c>
      <c r="F10" s="19">
        <v>1510.46</v>
      </c>
      <c r="G10" s="19">
        <v>6</v>
      </c>
      <c r="H10" s="19">
        <v>7.5</v>
      </c>
    </row>
    <row r="11" spans="1:8" x14ac:dyDescent="0.25">
      <c r="A11" s="19" t="s">
        <v>69</v>
      </c>
      <c r="B11" s="19">
        <v>25</v>
      </c>
      <c r="C11" s="19">
        <v>40</v>
      </c>
      <c r="D11" s="19">
        <v>1</v>
      </c>
      <c r="E11" s="19">
        <v>38</v>
      </c>
      <c r="F11" s="19">
        <v>1578.35</v>
      </c>
      <c r="G11" s="19">
        <v>8</v>
      </c>
      <c r="H11" s="19">
        <v>10</v>
      </c>
    </row>
    <row r="12" spans="1:8" x14ac:dyDescent="0.25">
      <c r="A12" s="19" t="s">
        <v>85</v>
      </c>
      <c r="B12" s="19">
        <v>35</v>
      </c>
      <c r="C12" s="19">
        <v>40</v>
      </c>
      <c r="D12" s="19">
        <v>1</v>
      </c>
      <c r="E12" s="19">
        <v>36</v>
      </c>
      <c r="F12" s="19">
        <v>1570.91</v>
      </c>
      <c r="G12" s="19">
        <v>8</v>
      </c>
      <c r="H12" s="19">
        <v>10</v>
      </c>
    </row>
    <row r="13" spans="1:8" x14ac:dyDescent="0.25">
      <c r="A13" s="19" t="s">
        <v>86</v>
      </c>
      <c r="B13" s="19">
        <v>32</v>
      </c>
      <c r="C13" s="19">
        <v>41</v>
      </c>
      <c r="D13" s="19">
        <v>6</v>
      </c>
      <c r="E13" s="19">
        <v>22</v>
      </c>
      <c r="F13" s="19">
        <v>1568.61</v>
      </c>
      <c r="G13" s="19">
        <v>2</v>
      </c>
      <c r="H13" s="19">
        <v>2</v>
      </c>
    </row>
    <row r="14" spans="1:8" x14ac:dyDescent="0.25">
      <c r="A14" s="19" t="s">
        <v>91</v>
      </c>
      <c r="B14" s="21">
        <f>AVERAGE(B2:B13)</f>
        <v>28.916666666666668</v>
      </c>
      <c r="C14" s="21">
        <f t="shared" ref="C14:H14" si="0">AVERAGE(C2:C13)</f>
        <v>40</v>
      </c>
      <c r="D14" s="21">
        <f t="shared" si="0"/>
        <v>2.8333333333333335</v>
      </c>
      <c r="E14" s="21">
        <f t="shared" si="0"/>
        <v>35.333333333333336</v>
      </c>
      <c r="F14" s="21">
        <f t="shared" si="0"/>
        <v>1556.2483333333337</v>
      </c>
      <c r="G14" s="21">
        <f t="shared" si="0"/>
        <v>7.416666666666667</v>
      </c>
      <c r="H14" s="21">
        <f t="shared" si="0"/>
        <v>8.8333333333333339</v>
      </c>
    </row>
    <row r="15" spans="1:8" x14ac:dyDescent="0.25">
      <c r="A15" s="19" t="s">
        <v>92</v>
      </c>
      <c r="B15" s="21">
        <f>_xlfn.VAR.P(B2:B13)</f>
        <v>25.409722222222221</v>
      </c>
      <c r="C15" s="21">
        <f t="shared" ref="C15:H15" si="1">_xlfn.VAR.P(C2:C13)</f>
        <v>0.5</v>
      </c>
      <c r="D15" s="21">
        <f t="shared" si="1"/>
        <v>3.3055555555555554</v>
      </c>
      <c r="E15" s="21">
        <f t="shared" si="1"/>
        <v>29.388888888888889</v>
      </c>
      <c r="F15" s="21">
        <f t="shared" si="1"/>
        <v>439.2552805555552</v>
      </c>
      <c r="G15" s="21">
        <f t="shared" si="1"/>
        <v>17.034722222222221</v>
      </c>
      <c r="H15" s="21">
        <f t="shared" si="1"/>
        <v>15.972222222222221</v>
      </c>
    </row>
    <row r="16" spans="1:8" x14ac:dyDescent="0.25">
      <c r="A16" s="19" t="s">
        <v>93</v>
      </c>
      <c r="B16" s="20">
        <f>SQRT(B15)</f>
        <v>5.0408057116122045</v>
      </c>
      <c r="C16" s="20">
        <f t="shared" ref="C16:H16" si="2">SQRT(C15)</f>
        <v>0.70710678118654757</v>
      </c>
      <c r="D16" s="20">
        <f t="shared" si="2"/>
        <v>1.818118685772619</v>
      </c>
      <c r="E16" s="20">
        <f t="shared" si="2"/>
        <v>5.421151989096864</v>
      </c>
      <c r="F16" s="20">
        <f t="shared" si="2"/>
        <v>20.958417892473545</v>
      </c>
      <c r="G16" s="20">
        <f t="shared" si="2"/>
        <v>4.1273141656799304</v>
      </c>
      <c r="H16" s="20">
        <f t="shared" si="2"/>
        <v>3.9965262694272661</v>
      </c>
    </row>
    <row r="17" spans="1:8" x14ac:dyDescent="0.25">
      <c r="A17" s="19"/>
      <c r="B17" s="20"/>
      <c r="C17" s="20"/>
      <c r="D17" s="20"/>
      <c r="E17" s="20"/>
      <c r="F17" s="20"/>
      <c r="G17" s="20"/>
      <c r="H17" s="20"/>
    </row>
    <row r="18" spans="1:8" ht="45" x14ac:dyDescent="0.25">
      <c r="A18" s="18" t="s">
        <v>88</v>
      </c>
      <c r="B18" s="18" t="s">
        <v>72</v>
      </c>
      <c r="C18" s="18" t="s">
        <v>73</v>
      </c>
      <c r="D18" s="18" t="s">
        <v>74</v>
      </c>
      <c r="E18" s="18" t="s">
        <v>75</v>
      </c>
      <c r="F18" s="18" t="s">
        <v>76</v>
      </c>
      <c r="G18" s="18" t="s">
        <v>89</v>
      </c>
      <c r="H18" s="18" t="s">
        <v>90</v>
      </c>
    </row>
    <row r="19" spans="1:8" x14ac:dyDescent="0.25">
      <c r="A19" s="19" t="s">
        <v>77</v>
      </c>
      <c r="B19" s="22">
        <f>(B2-B$14)/B$15</f>
        <v>8.1989614648811104E-2</v>
      </c>
      <c r="C19" s="22">
        <f t="shared" ref="C19:H19" si="3">(C2-C$14)/C$15</f>
        <v>-2</v>
      </c>
      <c r="D19" s="22">
        <f t="shared" si="3"/>
        <v>-0.55462184873949583</v>
      </c>
      <c r="E19" s="22">
        <f t="shared" si="3"/>
        <v>-4.5368620037807263E-2</v>
      </c>
      <c r="F19" s="22">
        <f t="shared" si="3"/>
        <v>-2.0303303632580452E-2</v>
      </c>
      <c r="G19" s="22">
        <f t="shared" si="3"/>
        <v>4.8919690175295381E-3</v>
      </c>
      <c r="H19" s="22">
        <f t="shared" si="3"/>
        <v>-8.3478260869565252E-2</v>
      </c>
    </row>
    <row r="20" spans="1:8" x14ac:dyDescent="0.25">
      <c r="A20" s="19" t="s">
        <v>78</v>
      </c>
      <c r="B20" s="22">
        <f t="shared" ref="B20:H20" si="4">(B3-B$14)/B$15</f>
        <v>0.12134462968024046</v>
      </c>
      <c r="C20" s="22">
        <f t="shared" si="4"/>
        <v>-2</v>
      </c>
      <c r="D20" s="22">
        <f t="shared" si="4"/>
        <v>5.042016806722685E-2</v>
      </c>
      <c r="E20" s="22">
        <f t="shared" si="4"/>
        <v>5.6710775047258896E-2</v>
      </c>
      <c r="F20" s="22">
        <f t="shared" si="4"/>
        <v>-2.5357312311069746E-2</v>
      </c>
      <c r="G20" s="22">
        <f t="shared" si="4"/>
        <v>0.73868732164696282</v>
      </c>
      <c r="H20" s="22">
        <f t="shared" si="4"/>
        <v>0.69913043478260872</v>
      </c>
    </row>
    <row r="21" spans="1:8" x14ac:dyDescent="0.25">
      <c r="A21" s="19" t="s">
        <v>79</v>
      </c>
      <c r="B21" s="22">
        <f t="shared" ref="B21:H21" si="5">(B4-B$14)/B$15</f>
        <v>-0.11478546050833566</v>
      </c>
      <c r="C21" s="22">
        <f t="shared" si="5"/>
        <v>2</v>
      </c>
      <c r="D21" s="22">
        <f t="shared" si="5"/>
        <v>0.95798319327731096</v>
      </c>
      <c r="E21" s="22">
        <f t="shared" si="5"/>
        <v>0.12476370510396967</v>
      </c>
      <c r="F21" s="22">
        <f t="shared" si="5"/>
        <v>4.357754479913524E-2</v>
      </c>
      <c r="G21" s="22">
        <f t="shared" si="5"/>
        <v>-0.14186710150835713</v>
      </c>
      <c r="H21" s="22">
        <f t="shared" si="5"/>
        <v>-0.14608695652173917</v>
      </c>
    </row>
    <row r="22" spans="1:8" x14ac:dyDescent="0.25">
      <c r="A22" s="19" t="s">
        <v>80</v>
      </c>
      <c r="B22" s="22">
        <f t="shared" ref="B22:H22" si="6">(B5-B$14)/B$15</f>
        <v>4.2634599617381752E-2</v>
      </c>
      <c r="C22" s="22">
        <f t="shared" si="6"/>
        <v>0</v>
      </c>
      <c r="D22" s="22">
        <f t="shared" si="6"/>
        <v>5.042016806722685E-2</v>
      </c>
      <c r="E22" s="22">
        <f t="shared" si="6"/>
        <v>-7.9395085066162649E-2</v>
      </c>
      <c r="F22" s="22">
        <f t="shared" si="6"/>
        <v>-1.0536773348472956E-2</v>
      </c>
      <c r="G22" s="22">
        <f t="shared" si="6"/>
        <v>-8.3163473298002472E-2</v>
      </c>
      <c r="H22" s="22">
        <f t="shared" si="6"/>
        <v>-0.11478260869565221</v>
      </c>
    </row>
    <row r="23" spans="1:8" x14ac:dyDescent="0.25">
      <c r="A23" s="19" t="s">
        <v>81</v>
      </c>
      <c r="B23" s="22">
        <f t="shared" ref="B23:H23" si="7">(B6-B$14)/B$15</f>
        <v>0.27876468980595787</v>
      </c>
      <c r="C23" s="22">
        <f t="shared" si="7"/>
        <v>0</v>
      </c>
      <c r="D23" s="22">
        <f t="shared" si="7"/>
        <v>5.042016806722685E-2</v>
      </c>
      <c r="E23" s="22">
        <f t="shared" si="7"/>
        <v>0.15879017013232505</v>
      </c>
      <c r="F23" s="22">
        <f t="shared" si="7"/>
        <v>-5.6546464966611011E-2</v>
      </c>
      <c r="G23" s="22">
        <f t="shared" si="7"/>
        <v>-0.14186710150835713</v>
      </c>
      <c r="H23" s="22">
        <f t="shared" si="7"/>
        <v>-5.21739130434783E-2</v>
      </c>
    </row>
    <row r="24" spans="1:8" x14ac:dyDescent="0.25">
      <c r="A24" s="19" t="s">
        <v>66</v>
      </c>
      <c r="B24" s="22">
        <f t="shared" ref="B24:H24" si="8">(B7-B$14)/B$15</f>
        <v>-3.6075430445476953E-2</v>
      </c>
      <c r="C24" s="22">
        <f t="shared" si="8"/>
        <v>0</v>
      </c>
      <c r="D24" s="22">
        <f t="shared" si="8"/>
        <v>-0.55462184873949583</v>
      </c>
      <c r="E24" s="22">
        <f t="shared" si="8"/>
        <v>9.0737240075614289E-2</v>
      </c>
      <c r="F24" s="22">
        <f t="shared" si="8"/>
        <v>4.6172846552953742E-2</v>
      </c>
      <c r="G24" s="22">
        <f t="shared" si="8"/>
        <v>-2.4459845087647796E-2</v>
      </c>
      <c r="H24" s="22">
        <f t="shared" si="8"/>
        <v>7.3043478260869529E-2</v>
      </c>
    </row>
    <row r="25" spans="1:8" x14ac:dyDescent="0.25">
      <c r="A25" s="19" t="s">
        <v>82</v>
      </c>
      <c r="B25" s="22">
        <f t="shared" ref="B25:H25" si="9">(B8-B$14)/B$15</f>
        <v>-3.6075430445476953E-2</v>
      </c>
      <c r="C25" s="22">
        <f t="shared" si="9"/>
        <v>0</v>
      </c>
      <c r="D25" s="22">
        <f t="shared" si="9"/>
        <v>-0.55462184873949583</v>
      </c>
      <c r="E25" s="22">
        <f t="shared" si="9"/>
        <v>0.19281663516068046</v>
      </c>
      <c r="F25" s="22">
        <f t="shared" si="9"/>
        <v>-3.4144912986280536E-2</v>
      </c>
      <c r="G25" s="22">
        <f t="shared" si="9"/>
        <v>-2.4459845087647796E-2</v>
      </c>
      <c r="H25" s="22">
        <f t="shared" si="9"/>
        <v>7.3043478260869529E-2</v>
      </c>
    </row>
    <row r="26" spans="1:8" x14ac:dyDescent="0.25">
      <c r="A26" s="19" t="s">
        <v>83</v>
      </c>
      <c r="B26" s="22">
        <f t="shared" ref="B26:H26" si="10">(B9-B$14)/B$15</f>
        <v>-3.6075430445476953E-2</v>
      </c>
      <c r="C26" s="22">
        <f t="shared" si="10"/>
        <v>2</v>
      </c>
      <c r="D26" s="22">
        <f t="shared" si="10"/>
        <v>0.3529411764705882</v>
      </c>
      <c r="E26" s="22">
        <f t="shared" si="10"/>
        <v>0.12476370510396967</v>
      </c>
      <c r="F26" s="22">
        <f t="shared" si="10"/>
        <v>4.9542185671946612E-2</v>
      </c>
      <c r="G26" s="22">
        <f t="shared" si="10"/>
        <v>4.8919690175295381E-3</v>
      </c>
      <c r="H26" s="22">
        <f t="shared" si="10"/>
        <v>-8.3478260869565252E-2</v>
      </c>
    </row>
    <row r="27" spans="1:8" x14ac:dyDescent="0.25">
      <c r="A27" s="19" t="s">
        <v>84</v>
      </c>
      <c r="B27" s="22">
        <f t="shared" ref="B27:H27" si="11">(B10-B$14)/B$15</f>
        <v>-0.50833561082262924</v>
      </c>
      <c r="C27" s="22">
        <f t="shared" si="11"/>
        <v>-2</v>
      </c>
      <c r="D27" s="22">
        <f t="shared" si="11"/>
        <v>0.3529411764705882</v>
      </c>
      <c r="E27" s="22">
        <f t="shared" si="11"/>
        <v>-0.28355387523629499</v>
      </c>
      <c r="F27" s="22">
        <f t="shared" si="11"/>
        <v>-0.10424082614424603</v>
      </c>
      <c r="G27" s="22">
        <f t="shared" si="11"/>
        <v>-8.3163473298002472E-2</v>
      </c>
      <c r="H27" s="22">
        <f t="shared" si="11"/>
        <v>-8.3478260869565252E-2</v>
      </c>
    </row>
    <row r="28" spans="1:8" x14ac:dyDescent="0.25">
      <c r="A28" s="19" t="s">
        <v>69</v>
      </c>
      <c r="B28" s="22">
        <f t="shared" ref="B28:H28" si="12">(B11-B$14)/B$15</f>
        <v>-0.15414047553976501</v>
      </c>
      <c r="C28" s="22">
        <f t="shared" si="12"/>
        <v>0</v>
      </c>
      <c r="D28" s="22">
        <f t="shared" si="12"/>
        <v>-0.55462184873949583</v>
      </c>
      <c r="E28" s="22">
        <f t="shared" si="12"/>
        <v>9.0737240075614289E-2</v>
      </c>
      <c r="F28" s="22">
        <f t="shared" si="12"/>
        <v>5.0316223037120453E-2</v>
      </c>
      <c r="G28" s="22">
        <f t="shared" si="12"/>
        <v>3.4243783122706872E-2</v>
      </c>
      <c r="H28" s="22">
        <f t="shared" si="12"/>
        <v>7.3043478260869529E-2</v>
      </c>
    </row>
    <row r="29" spans="1:8" x14ac:dyDescent="0.25">
      <c r="A29" s="19" t="s">
        <v>85</v>
      </c>
      <c r="B29" s="22">
        <f t="shared" ref="B29:H30" si="13">(B12-B$14)/B$15</f>
        <v>0.23940967477452851</v>
      </c>
      <c r="C29" s="22">
        <f t="shared" si="13"/>
        <v>0</v>
      </c>
      <c r="D29" s="22">
        <f t="shared" si="13"/>
        <v>-0.55462184873949583</v>
      </c>
      <c r="E29" s="22">
        <f t="shared" si="13"/>
        <v>2.268431001890351E-2</v>
      </c>
      <c r="F29" s="22">
        <f t="shared" si="13"/>
        <v>3.3378464222724488E-2</v>
      </c>
      <c r="G29" s="22">
        <f t="shared" si="13"/>
        <v>3.4243783122706872E-2</v>
      </c>
      <c r="H29" s="22">
        <f t="shared" si="13"/>
        <v>7.3043478260869529E-2</v>
      </c>
    </row>
    <row r="30" spans="1:8" x14ac:dyDescent="0.25">
      <c r="A30" s="19" t="s">
        <v>86</v>
      </c>
      <c r="B30" s="22">
        <f t="shared" ref="B30:F30" si="14">(B13-B$14)/B$15</f>
        <v>0.12134462968024046</v>
      </c>
      <c r="C30" s="22">
        <f t="shared" si="14"/>
        <v>2</v>
      </c>
      <c r="D30" s="22">
        <f t="shared" si="14"/>
        <v>0.95798319327731096</v>
      </c>
      <c r="E30" s="22">
        <f t="shared" si="14"/>
        <v>-0.45368620037807189</v>
      </c>
      <c r="F30" s="22">
        <f t="shared" si="14"/>
        <v>2.8142329105370359E-2</v>
      </c>
      <c r="G30" s="22">
        <f t="shared" si="13"/>
        <v>-0.31797798613942113</v>
      </c>
      <c r="H30" s="22">
        <f t="shared" si="13"/>
        <v>-0.4278260869565218</v>
      </c>
    </row>
    <row r="31" spans="1:8" x14ac:dyDescent="0.25">
      <c r="A31" s="19"/>
      <c r="B31" s="19"/>
      <c r="C31" s="21"/>
      <c r="D31" s="21"/>
      <c r="E31" s="21"/>
      <c r="F31" s="21"/>
      <c r="G31" s="21"/>
      <c r="H31" s="21"/>
    </row>
    <row r="32" spans="1:8" x14ac:dyDescent="0.25">
      <c r="A32" s="19"/>
      <c r="B32" s="19"/>
      <c r="C32" s="21"/>
      <c r="D32" s="21"/>
      <c r="E32" s="21"/>
      <c r="F32" s="21"/>
      <c r="G32" s="21"/>
      <c r="H32" s="21"/>
    </row>
    <row r="33" spans="1:8" x14ac:dyDescent="0.25">
      <c r="A33" s="19"/>
      <c r="B33" s="19"/>
      <c r="C33" s="20"/>
      <c r="D33" s="20"/>
      <c r="E33" s="20"/>
      <c r="F33" s="20"/>
      <c r="G33" s="20"/>
      <c r="H33" s="20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topLeftCell="A46" workbookViewId="0">
      <selection activeCell="A61" sqref="A61"/>
    </sheetView>
  </sheetViews>
  <sheetFormatPr defaultRowHeight="15" x14ac:dyDescent="0.25"/>
  <cols>
    <col min="1" max="1" width="18.7109375" customWidth="1"/>
    <col min="2" max="3" width="20.85546875" customWidth="1"/>
    <col min="4" max="4" width="30.42578125" customWidth="1"/>
  </cols>
  <sheetData>
    <row r="1" spans="1:4" x14ac:dyDescent="0.25">
      <c r="A1" s="18" t="s">
        <v>87</v>
      </c>
      <c r="B1" s="18" t="s">
        <v>70</v>
      </c>
      <c r="C1" s="18" t="s">
        <v>71</v>
      </c>
      <c r="D1" s="18"/>
    </row>
    <row r="2" spans="1:4" x14ac:dyDescent="0.25">
      <c r="A2" s="19" t="s">
        <v>77</v>
      </c>
      <c r="B2" s="19" t="s">
        <v>72</v>
      </c>
      <c r="C2" s="19">
        <v>31</v>
      </c>
      <c r="D2" s="19"/>
    </row>
    <row r="3" spans="1:4" ht="30" x14ac:dyDescent="0.25">
      <c r="A3" s="19" t="s">
        <v>77</v>
      </c>
      <c r="B3" s="19" t="s">
        <v>73</v>
      </c>
      <c r="C3" s="19">
        <v>39</v>
      </c>
      <c r="D3" s="19"/>
    </row>
    <row r="4" spans="1:4" x14ac:dyDescent="0.25">
      <c r="A4" s="19" t="s">
        <v>77</v>
      </c>
      <c r="B4" s="19" t="s">
        <v>74</v>
      </c>
      <c r="C4" s="19">
        <v>1</v>
      </c>
      <c r="D4" s="19"/>
    </row>
    <row r="5" spans="1:4" ht="30" x14ac:dyDescent="0.25">
      <c r="A5" s="19" t="s">
        <v>77</v>
      </c>
      <c r="B5" s="19" t="s">
        <v>75</v>
      </c>
      <c r="C5" s="19">
        <v>34</v>
      </c>
      <c r="D5" s="19"/>
    </row>
    <row r="6" spans="1:4" ht="30" x14ac:dyDescent="0.25">
      <c r="A6" s="19" t="s">
        <v>77</v>
      </c>
      <c r="B6" s="19" t="s">
        <v>76</v>
      </c>
      <c r="C6" s="19">
        <v>1547.33</v>
      </c>
      <c r="D6" s="19"/>
    </row>
    <row r="7" spans="1:4" x14ac:dyDescent="0.25">
      <c r="A7" s="19" t="s">
        <v>78</v>
      </c>
      <c r="B7" s="19" t="s">
        <v>72</v>
      </c>
      <c r="C7" s="19">
        <v>32</v>
      </c>
      <c r="D7" s="19"/>
    </row>
    <row r="8" spans="1:4" ht="30" x14ac:dyDescent="0.25">
      <c r="A8" s="19" t="s">
        <v>78</v>
      </c>
      <c r="B8" s="19" t="s">
        <v>73</v>
      </c>
      <c r="C8" s="19">
        <v>39</v>
      </c>
      <c r="D8" s="19"/>
    </row>
    <row r="9" spans="1:4" x14ac:dyDescent="0.25">
      <c r="A9" s="19" t="s">
        <v>78</v>
      </c>
      <c r="B9" s="19" t="s">
        <v>74</v>
      </c>
      <c r="C9" s="19">
        <v>3</v>
      </c>
      <c r="D9" s="19"/>
    </row>
    <row r="10" spans="1:4" ht="30" x14ac:dyDescent="0.25">
      <c r="A10" s="19" t="s">
        <v>78</v>
      </c>
      <c r="B10" s="19" t="s">
        <v>75</v>
      </c>
      <c r="C10" s="19">
        <v>37</v>
      </c>
      <c r="D10" s="19"/>
    </row>
    <row r="11" spans="1:4" ht="30" x14ac:dyDescent="0.25">
      <c r="A11" s="19" t="s">
        <v>78</v>
      </c>
      <c r="B11" s="19" t="s">
        <v>76</v>
      </c>
      <c r="C11" s="19">
        <v>1545.11</v>
      </c>
      <c r="D11" s="19"/>
    </row>
    <row r="12" spans="1:4" x14ac:dyDescent="0.25">
      <c r="A12" s="19" t="s">
        <v>79</v>
      </c>
      <c r="B12" s="19" t="s">
        <v>72</v>
      </c>
      <c r="C12" s="19">
        <v>26</v>
      </c>
      <c r="D12" s="19"/>
    </row>
    <row r="13" spans="1:4" ht="30" x14ac:dyDescent="0.25">
      <c r="A13" s="19" t="s">
        <v>79</v>
      </c>
      <c r="B13" s="19" t="s">
        <v>73</v>
      </c>
      <c r="C13" s="19">
        <v>41</v>
      </c>
      <c r="D13" s="19"/>
    </row>
    <row r="14" spans="1:4" x14ac:dyDescent="0.25">
      <c r="A14" s="19" t="s">
        <v>79</v>
      </c>
      <c r="B14" s="19" t="s">
        <v>74</v>
      </c>
      <c r="C14" s="19">
        <v>6</v>
      </c>
      <c r="D14" s="19"/>
    </row>
    <row r="15" spans="1:4" ht="30" x14ac:dyDescent="0.25">
      <c r="A15" s="19" t="s">
        <v>79</v>
      </c>
      <c r="B15" s="19" t="s">
        <v>75</v>
      </c>
      <c r="C15" s="19">
        <v>39</v>
      </c>
      <c r="D15" s="19"/>
    </row>
    <row r="16" spans="1:4" ht="30" x14ac:dyDescent="0.25">
      <c r="A16" s="19" t="s">
        <v>79</v>
      </c>
      <c r="B16" s="19" t="s">
        <v>76</v>
      </c>
      <c r="C16" s="19">
        <v>1575.39</v>
      </c>
      <c r="D16" s="19"/>
    </row>
    <row r="17" spans="1:4" x14ac:dyDescent="0.25">
      <c r="A17" s="19" t="s">
        <v>80</v>
      </c>
      <c r="B17" s="19" t="s">
        <v>72</v>
      </c>
      <c r="C17" s="19">
        <v>30</v>
      </c>
      <c r="D17" s="19"/>
    </row>
    <row r="18" spans="1:4" ht="30" x14ac:dyDescent="0.25">
      <c r="A18" s="19" t="s">
        <v>80</v>
      </c>
      <c r="B18" s="19" t="s">
        <v>73</v>
      </c>
      <c r="C18" s="19">
        <v>40</v>
      </c>
      <c r="D18" s="19"/>
    </row>
    <row r="19" spans="1:4" x14ac:dyDescent="0.25">
      <c r="A19" s="19" t="s">
        <v>80</v>
      </c>
      <c r="B19" s="19" t="s">
        <v>74</v>
      </c>
      <c r="C19" s="19">
        <v>3</v>
      </c>
      <c r="D19" s="19"/>
    </row>
    <row r="20" spans="1:4" ht="30" x14ac:dyDescent="0.25">
      <c r="A20" s="19" t="s">
        <v>80</v>
      </c>
      <c r="B20" s="19" t="s">
        <v>75</v>
      </c>
      <c r="C20" s="19">
        <v>33</v>
      </c>
      <c r="D20" s="19"/>
    </row>
    <row r="21" spans="1:4" ht="30" x14ac:dyDescent="0.25">
      <c r="A21" s="19" t="s">
        <v>80</v>
      </c>
      <c r="B21" s="19" t="s">
        <v>76</v>
      </c>
      <c r="C21" s="19">
        <v>1551.62</v>
      </c>
      <c r="D21" s="19"/>
    </row>
    <row r="22" spans="1:4" x14ac:dyDescent="0.25">
      <c r="A22" s="19" t="s">
        <v>81</v>
      </c>
      <c r="B22" s="19" t="s">
        <v>72</v>
      </c>
      <c r="C22" s="19">
        <v>36</v>
      </c>
      <c r="D22" s="19"/>
    </row>
    <row r="23" spans="1:4" ht="30" x14ac:dyDescent="0.25">
      <c r="A23" s="19" t="s">
        <v>81</v>
      </c>
      <c r="B23" s="19" t="s">
        <v>73</v>
      </c>
      <c r="C23" s="19">
        <v>40</v>
      </c>
      <c r="D23" s="19"/>
    </row>
    <row r="24" spans="1:4" x14ac:dyDescent="0.25">
      <c r="A24" s="19" t="s">
        <v>81</v>
      </c>
      <c r="B24" s="19" t="s">
        <v>74</v>
      </c>
      <c r="C24" s="19">
        <v>3</v>
      </c>
      <c r="D24" s="19"/>
    </row>
    <row r="25" spans="1:4" ht="30" x14ac:dyDescent="0.25">
      <c r="A25" s="19" t="s">
        <v>81</v>
      </c>
      <c r="B25" s="19" t="s">
        <v>75</v>
      </c>
      <c r="C25" s="19">
        <v>40</v>
      </c>
      <c r="D25" s="19"/>
    </row>
    <row r="26" spans="1:4" ht="30" x14ac:dyDescent="0.25">
      <c r="A26" s="19" t="s">
        <v>81</v>
      </c>
      <c r="B26" s="19" t="s">
        <v>76</v>
      </c>
      <c r="C26" s="19">
        <v>1531.41</v>
      </c>
      <c r="D26" s="19"/>
    </row>
    <row r="27" spans="1:4" x14ac:dyDescent="0.25">
      <c r="A27" s="19" t="s">
        <v>66</v>
      </c>
      <c r="B27" s="19" t="s">
        <v>72</v>
      </c>
      <c r="C27" s="19">
        <v>28</v>
      </c>
      <c r="D27" s="19"/>
    </row>
    <row r="28" spans="1:4" ht="30" x14ac:dyDescent="0.25">
      <c r="A28" s="19" t="s">
        <v>66</v>
      </c>
      <c r="B28" s="19" t="s">
        <v>73</v>
      </c>
      <c r="C28" s="19">
        <v>40</v>
      </c>
      <c r="D28" s="19"/>
    </row>
    <row r="29" spans="1:4" x14ac:dyDescent="0.25">
      <c r="A29" s="19" t="s">
        <v>66</v>
      </c>
      <c r="B29" s="19" t="s">
        <v>74</v>
      </c>
      <c r="C29" s="19">
        <v>1</v>
      </c>
      <c r="D29" s="19"/>
    </row>
    <row r="30" spans="1:4" ht="30" x14ac:dyDescent="0.25">
      <c r="A30" s="19" t="s">
        <v>66</v>
      </c>
      <c r="B30" s="19" t="s">
        <v>75</v>
      </c>
      <c r="C30" s="19">
        <v>38</v>
      </c>
      <c r="D30" s="19"/>
    </row>
    <row r="31" spans="1:4" ht="30" x14ac:dyDescent="0.25">
      <c r="A31" s="19" t="s">
        <v>66</v>
      </c>
      <c r="B31" s="19" t="s">
        <v>76</v>
      </c>
      <c r="C31" s="19">
        <v>1576.53</v>
      </c>
      <c r="D31" s="19"/>
    </row>
    <row r="32" spans="1:4" ht="30" x14ac:dyDescent="0.25">
      <c r="A32" s="19" t="s">
        <v>82</v>
      </c>
      <c r="B32" s="19" t="s">
        <v>72</v>
      </c>
      <c r="C32" s="19">
        <v>28</v>
      </c>
      <c r="D32" s="19"/>
    </row>
    <row r="33" spans="1:4" ht="30" x14ac:dyDescent="0.25">
      <c r="A33" s="19" t="s">
        <v>82</v>
      </c>
      <c r="B33" s="19" t="s">
        <v>73</v>
      </c>
      <c r="C33" s="19">
        <v>40</v>
      </c>
      <c r="D33" s="19"/>
    </row>
    <row r="34" spans="1:4" ht="30" x14ac:dyDescent="0.25">
      <c r="A34" s="19" t="s">
        <v>82</v>
      </c>
      <c r="B34" s="19" t="s">
        <v>74</v>
      </c>
      <c r="C34" s="19">
        <v>1</v>
      </c>
      <c r="D34" s="19"/>
    </row>
    <row r="35" spans="1:4" ht="30" x14ac:dyDescent="0.25">
      <c r="A35" s="19" t="s">
        <v>82</v>
      </c>
      <c r="B35" s="19" t="s">
        <v>75</v>
      </c>
      <c r="C35" s="19">
        <v>41</v>
      </c>
      <c r="D35" s="19"/>
    </row>
    <row r="36" spans="1:4" ht="30" x14ac:dyDescent="0.25">
      <c r="A36" s="19" t="s">
        <v>82</v>
      </c>
      <c r="B36" s="19" t="s">
        <v>76</v>
      </c>
      <c r="C36" s="19">
        <v>1541.25</v>
      </c>
      <c r="D36" s="19"/>
    </row>
    <row r="37" spans="1:4" x14ac:dyDescent="0.25">
      <c r="A37" s="19" t="s">
        <v>83</v>
      </c>
      <c r="B37" s="19" t="s">
        <v>72</v>
      </c>
      <c r="C37" s="19">
        <v>28</v>
      </c>
      <c r="D37" s="19"/>
    </row>
    <row r="38" spans="1:4" ht="30" x14ac:dyDescent="0.25">
      <c r="A38" s="19" t="s">
        <v>83</v>
      </c>
      <c r="B38" s="19" t="s">
        <v>73</v>
      </c>
      <c r="C38" s="19">
        <v>41</v>
      </c>
      <c r="D38" s="19"/>
    </row>
    <row r="39" spans="1:4" x14ac:dyDescent="0.25">
      <c r="A39" s="19" t="s">
        <v>83</v>
      </c>
      <c r="B39" s="19" t="s">
        <v>74</v>
      </c>
      <c r="C39" s="19">
        <v>4</v>
      </c>
      <c r="D39" s="19"/>
    </row>
    <row r="40" spans="1:4" ht="30" x14ac:dyDescent="0.25">
      <c r="A40" s="19" t="s">
        <v>83</v>
      </c>
      <c r="B40" s="19" t="s">
        <v>75</v>
      </c>
      <c r="C40" s="19">
        <v>39</v>
      </c>
      <c r="D40" s="19"/>
    </row>
    <row r="41" spans="1:4" ht="30" x14ac:dyDescent="0.25">
      <c r="A41" s="19" t="s">
        <v>83</v>
      </c>
      <c r="B41" s="19" t="s">
        <v>76</v>
      </c>
      <c r="C41" s="19">
        <v>1578.01</v>
      </c>
      <c r="D41" s="19"/>
    </row>
    <row r="42" spans="1:4" x14ac:dyDescent="0.25">
      <c r="A42" s="19" t="s">
        <v>84</v>
      </c>
      <c r="B42" s="19" t="s">
        <v>72</v>
      </c>
      <c r="C42" s="19">
        <v>16</v>
      </c>
      <c r="D42" s="19"/>
    </row>
    <row r="43" spans="1:4" ht="30" x14ac:dyDescent="0.25">
      <c r="A43" s="19" t="s">
        <v>84</v>
      </c>
      <c r="B43" s="19" t="s">
        <v>73</v>
      </c>
      <c r="C43" s="19">
        <v>39</v>
      </c>
      <c r="D43" s="19"/>
    </row>
    <row r="44" spans="1:4" x14ac:dyDescent="0.25">
      <c r="A44" s="19" t="s">
        <v>84</v>
      </c>
      <c r="B44" s="19" t="s">
        <v>74</v>
      </c>
      <c r="C44" s="19">
        <v>4</v>
      </c>
      <c r="D44" s="19"/>
    </row>
    <row r="45" spans="1:4" ht="30" x14ac:dyDescent="0.25">
      <c r="A45" s="19" t="s">
        <v>84</v>
      </c>
      <c r="B45" s="19" t="s">
        <v>75</v>
      </c>
      <c r="C45" s="19">
        <v>27</v>
      </c>
      <c r="D45" s="19"/>
    </row>
    <row r="46" spans="1:4" ht="30" x14ac:dyDescent="0.25">
      <c r="A46" s="19" t="s">
        <v>84</v>
      </c>
      <c r="B46" s="19" t="s">
        <v>76</v>
      </c>
      <c r="C46" s="19">
        <v>1510.46</v>
      </c>
      <c r="D46" s="19"/>
    </row>
    <row r="47" spans="1:4" x14ac:dyDescent="0.25">
      <c r="A47" s="19" t="s">
        <v>69</v>
      </c>
      <c r="B47" s="19" t="s">
        <v>72</v>
      </c>
      <c r="C47" s="19">
        <v>25</v>
      </c>
      <c r="D47" s="19"/>
    </row>
    <row r="48" spans="1:4" ht="30" x14ac:dyDescent="0.25">
      <c r="A48" s="19" t="s">
        <v>69</v>
      </c>
      <c r="B48" s="19" t="s">
        <v>73</v>
      </c>
      <c r="C48" s="19">
        <v>40</v>
      </c>
      <c r="D48" s="19"/>
    </row>
    <row r="49" spans="1:4" x14ac:dyDescent="0.25">
      <c r="A49" s="19" t="s">
        <v>69</v>
      </c>
      <c r="B49" s="19" t="s">
        <v>74</v>
      </c>
      <c r="C49" s="19">
        <v>1</v>
      </c>
      <c r="D49" s="19"/>
    </row>
    <row r="50" spans="1:4" ht="30" x14ac:dyDescent="0.25">
      <c r="A50" s="19" t="s">
        <v>69</v>
      </c>
      <c r="B50" s="19" t="s">
        <v>75</v>
      </c>
      <c r="C50" s="19">
        <v>38</v>
      </c>
      <c r="D50" s="19"/>
    </row>
    <row r="51" spans="1:4" ht="30" x14ac:dyDescent="0.25">
      <c r="A51" s="19" t="s">
        <v>69</v>
      </c>
      <c r="B51" s="19" t="s">
        <v>76</v>
      </c>
      <c r="C51" s="19">
        <v>1578.35</v>
      </c>
      <c r="D51" s="19"/>
    </row>
    <row r="52" spans="1:4" x14ac:dyDescent="0.25">
      <c r="A52" s="19" t="s">
        <v>85</v>
      </c>
      <c r="B52" s="19" t="s">
        <v>72</v>
      </c>
      <c r="C52" s="19">
        <v>35</v>
      </c>
      <c r="D52" s="19"/>
    </row>
    <row r="53" spans="1:4" ht="30" x14ac:dyDescent="0.25">
      <c r="A53" s="19" t="s">
        <v>85</v>
      </c>
      <c r="B53" s="19" t="s">
        <v>73</v>
      </c>
      <c r="C53" s="19">
        <v>40</v>
      </c>
      <c r="D53" s="19"/>
    </row>
    <row r="54" spans="1:4" x14ac:dyDescent="0.25">
      <c r="A54" s="19" t="s">
        <v>85</v>
      </c>
      <c r="B54" s="19" t="s">
        <v>74</v>
      </c>
      <c r="C54" s="19">
        <v>1</v>
      </c>
      <c r="D54" s="19"/>
    </row>
    <row r="55" spans="1:4" ht="30" x14ac:dyDescent="0.25">
      <c r="A55" s="19" t="s">
        <v>85</v>
      </c>
      <c r="B55" s="19" t="s">
        <v>75</v>
      </c>
      <c r="C55" s="19">
        <v>36</v>
      </c>
      <c r="D55" s="19"/>
    </row>
    <row r="56" spans="1:4" ht="30" x14ac:dyDescent="0.25">
      <c r="A56" s="19" t="s">
        <v>85</v>
      </c>
      <c r="B56" s="19" t="s">
        <v>76</v>
      </c>
      <c r="C56" s="19">
        <v>1570.91</v>
      </c>
      <c r="D56" s="19"/>
    </row>
    <row r="57" spans="1:4" x14ac:dyDescent="0.25">
      <c r="A57" s="19" t="s">
        <v>86</v>
      </c>
      <c r="B57" s="19" t="s">
        <v>72</v>
      </c>
      <c r="C57" s="19">
        <v>32</v>
      </c>
      <c r="D57" s="19"/>
    </row>
    <row r="58" spans="1:4" ht="30" x14ac:dyDescent="0.25">
      <c r="A58" s="19" t="s">
        <v>86</v>
      </c>
      <c r="B58" s="19" t="s">
        <v>73</v>
      </c>
      <c r="C58" s="19">
        <v>41</v>
      </c>
      <c r="D58" s="19"/>
    </row>
    <row r="59" spans="1:4" x14ac:dyDescent="0.25">
      <c r="A59" s="19" t="s">
        <v>86</v>
      </c>
      <c r="B59" s="19" t="s">
        <v>74</v>
      </c>
      <c r="C59" s="19">
        <v>6</v>
      </c>
      <c r="D59" s="19"/>
    </row>
    <row r="60" spans="1:4" ht="30" x14ac:dyDescent="0.25">
      <c r="A60" s="19" t="s">
        <v>86</v>
      </c>
      <c r="B60" s="19" t="s">
        <v>75</v>
      </c>
      <c r="C60" s="19">
        <v>22</v>
      </c>
      <c r="D60" s="19"/>
    </row>
    <row r="61" spans="1:4" ht="30" x14ac:dyDescent="0.25">
      <c r="A61" s="19" t="s">
        <v>86</v>
      </c>
      <c r="B61" s="19" t="s">
        <v>76</v>
      </c>
      <c r="C61" s="19">
        <v>1568.61</v>
      </c>
      <c r="D61" s="19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topLeftCell="A13" workbookViewId="0">
      <selection activeCell="I33" sqref="I33"/>
    </sheetView>
  </sheetViews>
  <sheetFormatPr defaultRowHeight="15" x14ac:dyDescent="0.25"/>
  <cols>
    <col min="1" max="1" width="9.7109375" style="1" bestFit="1" customWidth="1"/>
    <col min="3" max="3" width="17.7109375" customWidth="1"/>
    <col min="4" max="4" width="14.7109375" customWidth="1"/>
  </cols>
  <sheetData>
    <row r="1" spans="1:4" x14ac:dyDescent="0.25">
      <c r="B1" t="s">
        <v>0</v>
      </c>
      <c r="C1" t="s">
        <v>1</v>
      </c>
      <c r="D1" t="s">
        <v>34</v>
      </c>
    </row>
    <row r="2" spans="1:4" x14ac:dyDescent="0.25">
      <c r="A2" s="1" t="s">
        <v>2</v>
      </c>
      <c r="B2" s="3">
        <v>0.1</v>
      </c>
      <c r="C2">
        <v>3</v>
      </c>
      <c r="D2" s="3">
        <f>316/2877/5</f>
        <v>2.1967327076816128E-2</v>
      </c>
    </row>
    <row r="3" spans="1:4" x14ac:dyDescent="0.25">
      <c r="A3" s="1" t="s">
        <v>3</v>
      </c>
      <c r="B3" s="3">
        <v>0.1</v>
      </c>
      <c r="C3">
        <v>3</v>
      </c>
      <c r="D3" s="3">
        <f>298/5/2640</f>
        <v>2.2575757575757575E-2</v>
      </c>
    </row>
    <row r="4" spans="1:4" x14ac:dyDescent="0.25">
      <c r="A4" s="1" t="s">
        <v>9</v>
      </c>
      <c r="B4" s="3">
        <v>0.1</v>
      </c>
      <c r="C4">
        <v>4</v>
      </c>
      <c r="D4" s="3">
        <f>301/2649/5</f>
        <v>2.2725556813892035E-2</v>
      </c>
    </row>
    <row r="5" spans="1:4" x14ac:dyDescent="0.25">
      <c r="A5" s="1" t="s">
        <v>8</v>
      </c>
      <c r="B5" s="3">
        <v>0.1</v>
      </c>
      <c r="C5">
        <v>4</v>
      </c>
      <c r="D5" s="3">
        <f>316/5/2877</f>
        <v>2.1967327076816128E-2</v>
      </c>
    </row>
    <row r="6" spans="1:4" x14ac:dyDescent="0.25">
      <c r="A6" s="1" t="s">
        <v>4</v>
      </c>
      <c r="B6" s="3">
        <v>0.1</v>
      </c>
      <c r="C6">
        <v>4</v>
      </c>
      <c r="D6" s="3">
        <f>277/2643/5</f>
        <v>2.0961029133560349E-2</v>
      </c>
    </row>
    <row r="7" spans="1:4" x14ac:dyDescent="0.25">
      <c r="A7" s="1" t="s">
        <v>5</v>
      </c>
      <c r="B7" s="3">
        <v>0.1</v>
      </c>
      <c r="C7">
        <v>4</v>
      </c>
      <c r="D7" s="3">
        <f>277/5/2643</f>
        <v>2.0961029133560346E-2</v>
      </c>
    </row>
    <row r="8" spans="1:4" x14ac:dyDescent="0.25">
      <c r="A8" s="1" t="s">
        <v>7</v>
      </c>
      <c r="B8" s="3">
        <v>0.1</v>
      </c>
      <c r="C8">
        <v>4</v>
      </c>
      <c r="D8" s="3">
        <f>254/2083/5</f>
        <v>2.4387902064330294E-2</v>
      </c>
    </row>
    <row r="9" spans="1:4" x14ac:dyDescent="0.25">
      <c r="A9" s="1" t="s">
        <v>10</v>
      </c>
      <c r="B9" s="3">
        <v>0.1</v>
      </c>
      <c r="C9">
        <v>5</v>
      </c>
      <c r="D9" s="3">
        <f>259/2236/5</f>
        <v>2.3166368515205725E-2</v>
      </c>
    </row>
    <row r="10" spans="1:4" x14ac:dyDescent="0.25">
      <c r="A10" s="1" t="s">
        <v>6</v>
      </c>
      <c r="B10" s="3">
        <v>0.1</v>
      </c>
      <c r="C10">
        <v>5</v>
      </c>
      <c r="D10" s="3">
        <f>229/5/2129</f>
        <v>2.1512447158290277E-2</v>
      </c>
    </row>
    <row r="11" spans="1:4" x14ac:dyDescent="0.25">
      <c r="A11" s="1" t="s">
        <v>11</v>
      </c>
      <c r="B11" s="3">
        <v>0.1</v>
      </c>
      <c r="C11">
        <v>5</v>
      </c>
      <c r="D11" s="3">
        <f>221/5/2668</f>
        <v>1.656671664167916E-2</v>
      </c>
    </row>
    <row r="12" spans="1:4" x14ac:dyDescent="0.25">
      <c r="A12" s="1" t="s">
        <v>12</v>
      </c>
      <c r="B12" s="3">
        <v>0.1</v>
      </c>
      <c r="C12">
        <v>5</v>
      </c>
      <c r="D12" s="3">
        <f>55/2258</f>
        <v>2.4357838795394153E-2</v>
      </c>
    </row>
    <row r="13" spans="1:4" x14ac:dyDescent="0.25">
      <c r="A13" s="1" t="s">
        <v>13</v>
      </c>
      <c r="B13" s="3">
        <v>0.1</v>
      </c>
      <c r="C13">
        <v>5</v>
      </c>
      <c r="D13" s="3">
        <f>63/2478</f>
        <v>2.5423728813559324E-2</v>
      </c>
    </row>
    <row r="14" spans="1:4" x14ac:dyDescent="0.25">
      <c r="A14" s="1" t="s">
        <v>14</v>
      </c>
      <c r="B14" s="3">
        <v>0.1</v>
      </c>
      <c r="C14">
        <v>5</v>
      </c>
      <c r="D14" s="3">
        <f>53/2638</f>
        <v>2.0090978013646701E-2</v>
      </c>
    </row>
    <row r="15" spans="1:4" x14ac:dyDescent="0.25">
      <c r="A15" s="1" t="s">
        <v>15</v>
      </c>
      <c r="B15" s="3">
        <v>0.10199999999999999</v>
      </c>
      <c r="C15">
        <v>6</v>
      </c>
      <c r="D15" s="3">
        <f>49/2668</f>
        <v>1.8365817091454274E-2</v>
      </c>
    </row>
    <row r="16" spans="1:4" x14ac:dyDescent="0.25">
      <c r="A16" s="1" t="s">
        <v>16</v>
      </c>
      <c r="B16" s="3">
        <v>0.10199999999999999</v>
      </c>
      <c r="C16">
        <v>6</v>
      </c>
      <c r="D16" s="3">
        <f>44/2501</f>
        <v>1.759296281487405E-2</v>
      </c>
    </row>
    <row r="17" spans="1:4" x14ac:dyDescent="0.25">
      <c r="A17" s="1" t="s">
        <v>17</v>
      </c>
      <c r="B17" s="3">
        <v>0.129</v>
      </c>
      <c r="C17">
        <v>10</v>
      </c>
      <c r="D17" s="3">
        <f>53/2613</f>
        <v>2.0283199387677E-2</v>
      </c>
    </row>
    <row r="18" spans="1:4" x14ac:dyDescent="0.25">
      <c r="A18" s="1" t="s">
        <v>18</v>
      </c>
      <c r="B18" s="3">
        <v>0.129</v>
      </c>
      <c r="C18">
        <v>10</v>
      </c>
      <c r="D18" s="3">
        <f>42/2483</f>
        <v>1.6915022150624244E-2</v>
      </c>
    </row>
    <row r="19" spans="1:4" x14ac:dyDescent="0.25">
      <c r="A19" s="1" t="s">
        <v>19</v>
      </c>
      <c r="B19" s="3">
        <v>0.129</v>
      </c>
      <c r="C19">
        <v>10</v>
      </c>
      <c r="D19" s="3">
        <f>43/2422</f>
        <v>1.7753922378199834E-2</v>
      </c>
    </row>
    <row r="20" spans="1:4" x14ac:dyDescent="0.25">
      <c r="A20" s="1" t="s">
        <v>20</v>
      </c>
      <c r="B20" s="3">
        <v>0.129</v>
      </c>
      <c r="C20">
        <v>10</v>
      </c>
      <c r="D20" s="3">
        <f>41/2380</f>
        <v>1.7226890756302522E-2</v>
      </c>
    </row>
    <row r="21" spans="1:4" x14ac:dyDescent="0.25">
      <c r="A21" s="1" t="s">
        <v>21</v>
      </c>
      <c r="B21" s="3">
        <v>0.129</v>
      </c>
      <c r="C21">
        <v>10</v>
      </c>
      <c r="D21" s="3">
        <v>1.71314741035857E-2</v>
      </c>
    </row>
    <row r="22" spans="1:4" x14ac:dyDescent="0.25">
      <c r="A22" s="1" t="s">
        <v>22</v>
      </c>
      <c r="B22" s="3">
        <v>0.13250000000000001</v>
      </c>
      <c r="C22">
        <v>10</v>
      </c>
      <c r="D22" s="3">
        <f>32/2510</f>
        <v>1.2749003984063745E-2</v>
      </c>
    </row>
    <row r="23" spans="1:4" x14ac:dyDescent="0.25">
      <c r="A23" s="1" t="s">
        <v>23</v>
      </c>
      <c r="B23" s="3">
        <v>0.13250000000000001</v>
      </c>
      <c r="C23">
        <v>10</v>
      </c>
      <c r="D23" s="3">
        <f>26/2540</f>
        <v>1.0236220472440945E-2</v>
      </c>
    </row>
    <row r="24" spans="1:4" x14ac:dyDescent="0.25">
      <c r="A24" s="1" t="s">
        <v>24</v>
      </c>
      <c r="B24" s="3">
        <v>0.13250000000000001</v>
      </c>
      <c r="C24">
        <v>10</v>
      </c>
      <c r="D24" s="3">
        <v>8.3999999999999995E-3</v>
      </c>
    </row>
    <row r="25" spans="1:4" x14ac:dyDescent="0.25">
      <c r="A25" s="1" t="s">
        <v>25</v>
      </c>
      <c r="B25" s="3">
        <v>0.13250000000000001</v>
      </c>
      <c r="C25">
        <v>10</v>
      </c>
      <c r="D25" s="3">
        <v>9.7000000000000003E-3</v>
      </c>
    </row>
    <row r="26" spans="1:4" x14ac:dyDescent="0.25">
      <c r="A26" s="1" t="s">
        <v>26</v>
      </c>
      <c r="B26" s="3">
        <v>0.13250000000000001</v>
      </c>
      <c r="C26">
        <v>10</v>
      </c>
      <c r="D26" s="3">
        <v>5.0000000000000001E-3</v>
      </c>
    </row>
    <row r="27" spans="1:4" x14ac:dyDescent="0.25">
      <c r="A27" s="1" t="s">
        <v>27</v>
      </c>
      <c r="B27" s="3">
        <v>0.13250000000000001</v>
      </c>
      <c r="C27">
        <v>10</v>
      </c>
      <c r="D27" s="3">
        <v>5.0000000000000001E-3</v>
      </c>
    </row>
    <row r="28" spans="1:4" x14ac:dyDescent="0.25">
      <c r="A28" s="1" t="s">
        <v>28</v>
      </c>
      <c r="B28" s="3">
        <v>0.13250000000000001</v>
      </c>
      <c r="C28">
        <v>10</v>
      </c>
      <c r="D28" s="3">
        <v>4.5999999999999999E-3</v>
      </c>
    </row>
    <row r="29" spans="1:4" x14ac:dyDescent="0.25">
      <c r="A29" s="1" t="s">
        <v>29</v>
      </c>
      <c r="B29" s="3">
        <v>0.13250000000000001</v>
      </c>
      <c r="C29">
        <v>10</v>
      </c>
      <c r="D29" s="3">
        <v>4.7000000000000002E-3</v>
      </c>
    </row>
    <row r="30" spans="1:4" x14ac:dyDescent="0.25">
      <c r="A30" s="1" t="s">
        <v>30</v>
      </c>
      <c r="B30" s="3">
        <v>0.13600000000000001</v>
      </c>
      <c r="C30">
        <v>12</v>
      </c>
      <c r="D30" s="3">
        <v>3.0999999999999999E-3</v>
      </c>
    </row>
    <row r="31" spans="1:4" x14ac:dyDescent="0.25">
      <c r="A31" s="1" t="s">
        <v>31</v>
      </c>
      <c r="B31" s="3">
        <v>0.13600000000000001</v>
      </c>
      <c r="C31">
        <v>12</v>
      </c>
      <c r="D31" s="3">
        <v>2.8999999999999998E-3</v>
      </c>
    </row>
    <row r="32" spans="1:4" x14ac:dyDescent="0.25">
      <c r="A32" s="1" t="s">
        <v>32</v>
      </c>
      <c r="B32" s="3">
        <v>0.13600000000000001</v>
      </c>
      <c r="C32">
        <v>12</v>
      </c>
      <c r="D32" s="3">
        <v>2.5000000000000001E-3</v>
      </c>
    </row>
    <row r="33" spans="1:4" x14ac:dyDescent="0.25">
      <c r="A33" s="1" t="s">
        <v>33</v>
      </c>
      <c r="B33" s="3">
        <v>0.13600000000000001</v>
      </c>
      <c r="C33">
        <v>12</v>
      </c>
      <c r="D33" s="3">
        <v>2.3999999999999998E-3</v>
      </c>
    </row>
    <row r="34" spans="1:4" x14ac:dyDescent="0.25">
      <c r="B34" s="3"/>
      <c r="D34" s="2"/>
    </row>
    <row r="35" spans="1:4" x14ac:dyDescent="0.25">
      <c r="B35" s="3"/>
      <c r="D35" s="2"/>
    </row>
    <row r="36" spans="1:4" x14ac:dyDescent="0.25">
      <c r="B36" s="3"/>
      <c r="D36" s="2"/>
    </row>
    <row r="37" spans="1:4" x14ac:dyDescent="0.25">
      <c r="B37" s="3"/>
      <c r="D37" s="2"/>
    </row>
    <row r="38" spans="1:4" x14ac:dyDescent="0.25">
      <c r="B38" s="3"/>
      <c r="D38" s="2"/>
    </row>
    <row r="39" spans="1:4" x14ac:dyDescent="0.25">
      <c r="B39" s="3"/>
      <c r="D39" s="2"/>
    </row>
    <row r="40" spans="1:4" x14ac:dyDescent="0.25">
      <c r="B40" s="3"/>
      <c r="D40" s="2"/>
    </row>
    <row r="41" spans="1:4" x14ac:dyDescent="0.25">
      <c r="B41" s="3"/>
      <c r="D41" s="2"/>
    </row>
    <row r="42" spans="1:4" x14ac:dyDescent="0.25">
      <c r="B42" s="3"/>
      <c r="D42" s="2"/>
    </row>
    <row r="43" spans="1:4" x14ac:dyDescent="0.25">
      <c r="B43" s="3"/>
      <c r="D43" s="2"/>
    </row>
    <row r="44" spans="1:4" x14ac:dyDescent="0.25">
      <c r="B44" s="3"/>
      <c r="D44" s="2"/>
    </row>
    <row r="45" spans="1:4" x14ac:dyDescent="0.25">
      <c r="D45" s="2"/>
    </row>
    <row r="46" spans="1:4" x14ac:dyDescent="0.25">
      <c r="D46" s="2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opLeftCell="A7" workbookViewId="0">
      <selection activeCell="A18" sqref="A18"/>
    </sheetView>
  </sheetViews>
  <sheetFormatPr defaultRowHeight="15" x14ac:dyDescent="0.25"/>
  <cols>
    <col min="1" max="1" width="21.7109375" customWidth="1"/>
  </cols>
  <sheetData>
    <row r="1" spans="1:5" x14ac:dyDescent="0.25">
      <c r="B1" t="s">
        <v>56</v>
      </c>
      <c r="C1" t="s">
        <v>63</v>
      </c>
      <c r="D1" t="s">
        <v>53</v>
      </c>
      <c r="E1" t="s">
        <v>54</v>
      </c>
    </row>
    <row r="2" spans="1:5" x14ac:dyDescent="0.25">
      <c r="A2" t="s">
        <v>55</v>
      </c>
      <c r="B2">
        <v>55</v>
      </c>
      <c r="C2" s="17">
        <f t="shared" ref="C2:C11" si="0">B2/10*6</f>
        <v>33</v>
      </c>
      <c r="D2" s="2">
        <v>7.4999999999999997E-2</v>
      </c>
      <c r="E2" s="2">
        <v>7.4999999999999997E-2</v>
      </c>
    </row>
    <row r="3" spans="1:5" x14ac:dyDescent="0.25">
      <c r="A3" t="s">
        <v>58</v>
      </c>
      <c r="B3">
        <v>53.33</v>
      </c>
      <c r="C3" s="17">
        <f t="shared" si="0"/>
        <v>31.998000000000001</v>
      </c>
      <c r="D3" s="2">
        <v>0.06</v>
      </c>
      <c r="E3" s="2">
        <v>7.0000000000000007E-2</v>
      </c>
    </row>
    <row r="4" spans="1:5" x14ac:dyDescent="0.25">
      <c r="A4" t="s">
        <v>52</v>
      </c>
      <c r="B4">
        <v>48.33</v>
      </c>
      <c r="C4" s="17">
        <f t="shared" si="0"/>
        <v>28.998000000000001</v>
      </c>
      <c r="D4" s="2">
        <v>4.4999999999999998E-2</v>
      </c>
      <c r="E4" s="2">
        <v>4.4999999999999998E-2</v>
      </c>
    </row>
    <row r="5" spans="1:5" x14ac:dyDescent="0.25">
      <c r="A5" t="s">
        <v>59</v>
      </c>
      <c r="B5">
        <v>54.72</v>
      </c>
      <c r="C5" s="17">
        <f t="shared" si="0"/>
        <v>32.831999999999994</v>
      </c>
      <c r="D5" s="2">
        <v>0.08</v>
      </c>
      <c r="E5" s="2">
        <v>0.1</v>
      </c>
    </row>
    <row r="6" spans="1:5" x14ac:dyDescent="0.25">
      <c r="A6" t="s">
        <v>60</v>
      </c>
      <c r="B6">
        <v>51.67</v>
      </c>
      <c r="C6" s="17">
        <f t="shared" si="0"/>
        <v>31.001999999999999</v>
      </c>
      <c r="D6" s="2">
        <v>0.06</v>
      </c>
      <c r="E6" s="2">
        <v>7.4999999999999997E-2</v>
      </c>
    </row>
    <row r="7" spans="1:5" x14ac:dyDescent="0.25">
      <c r="A7" t="s">
        <v>61</v>
      </c>
      <c r="B7">
        <v>48.33</v>
      </c>
      <c r="C7" s="17">
        <f t="shared" si="0"/>
        <v>28.998000000000001</v>
      </c>
      <c r="D7" s="2">
        <v>0.05</v>
      </c>
      <c r="E7" s="2">
        <v>6.5000000000000002E-2</v>
      </c>
    </row>
    <row r="8" spans="1:5" x14ac:dyDescent="0.25">
      <c r="A8" t="s">
        <v>62</v>
      </c>
      <c r="B8">
        <v>53.33</v>
      </c>
      <c r="C8" s="17">
        <f t="shared" si="0"/>
        <v>31.998000000000001</v>
      </c>
      <c r="D8" s="2">
        <v>0.05</v>
      </c>
      <c r="E8" s="2">
        <v>0.08</v>
      </c>
    </row>
    <row r="9" spans="1:5" x14ac:dyDescent="0.25">
      <c r="A9" t="s">
        <v>57</v>
      </c>
      <c r="B9">
        <v>51.67</v>
      </c>
      <c r="C9" s="17">
        <f t="shared" si="0"/>
        <v>31.001999999999999</v>
      </c>
      <c r="D9" s="2">
        <v>8.5000000000000006E-2</v>
      </c>
      <c r="E9" s="2">
        <v>8.5000000000000006E-2</v>
      </c>
    </row>
    <row r="10" spans="1:5" x14ac:dyDescent="0.25">
      <c r="A10" t="s">
        <v>64</v>
      </c>
      <c r="B10">
        <v>50</v>
      </c>
      <c r="C10" s="17">
        <v>30</v>
      </c>
      <c r="D10" s="2">
        <v>0.05</v>
      </c>
      <c r="E10" s="2">
        <v>0.1</v>
      </c>
    </row>
    <row r="11" spans="1:5" x14ac:dyDescent="0.25">
      <c r="A11" t="s">
        <v>65</v>
      </c>
      <c r="B11">
        <v>51.67</v>
      </c>
      <c r="C11" s="17">
        <f t="shared" si="0"/>
        <v>31.001999999999999</v>
      </c>
      <c r="D11" s="2">
        <v>0.06</v>
      </c>
      <c r="E11" s="2">
        <v>7.0000000000000007E-2</v>
      </c>
    </row>
    <row r="12" spans="1:5" x14ac:dyDescent="0.25">
      <c r="A12" t="s">
        <v>66</v>
      </c>
      <c r="B12">
        <v>53.33</v>
      </c>
      <c r="C12">
        <v>32</v>
      </c>
      <c r="D12" s="2">
        <v>7.0000000000000007E-2</v>
      </c>
      <c r="E12" s="2">
        <v>0.1</v>
      </c>
    </row>
    <row r="13" spans="1:5" x14ac:dyDescent="0.25">
      <c r="A13" t="s">
        <v>67</v>
      </c>
      <c r="B13">
        <v>43.33</v>
      </c>
      <c r="C13">
        <v>26</v>
      </c>
      <c r="D13" s="2">
        <v>7.0000000000000007E-2</v>
      </c>
      <c r="E13" s="2">
        <v>7.0000000000000007E-2</v>
      </c>
    </row>
    <row r="14" spans="1:5" x14ac:dyDescent="0.25">
      <c r="A14" t="s">
        <v>68</v>
      </c>
      <c r="B14">
        <v>51.67</v>
      </c>
      <c r="C14" s="17">
        <v>31</v>
      </c>
      <c r="D14" s="2">
        <v>7.0000000000000007E-2</v>
      </c>
      <c r="E14" s="2">
        <v>0.1</v>
      </c>
    </row>
    <row r="15" spans="1:5" x14ac:dyDescent="0.25">
      <c r="A15" t="s">
        <v>69</v>
      </c>
      <c r="B15">
        <v>52.54</v>
      </c>
      <c r="C15" s="17">
        <v>31</v>
      </c>
      <c r="D15" s="2">
        <v>0.08</v>
      </c>
      <c r="E15" s="2">
        <v>0.1</v>
      </c>
    </row>
  </sheetData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7"/>
  <sheetViews>
    <sheetView topLeftCell="A52" workbookViewId="0">
      <selection activeCell="K1" sqref="K1"/>
    </sheetView>
  </sheetViews>
  <sheetFormatPr defaultRowHeight="15" x14ac:dyDescent="0.25"/>
  <cols>
    <col min="4" max="4" width="9.140625" style="10"/>
    <col min="11" max="11" width="21.85546875" customWidth="1"/>
    <col min="13" max="13" width="9.140625" style="2"/>
  </cols>
  <sheetData>
    <row r="1" spans="1:13" x14ac:dyDescent="0.25">
      <c r="A1" t="s">
        <v>48</v>
      </c>
      <c r="K1" t="str">
        <f>A1</f>
        <v>Cofee machines</v>
      </c>
      <c r="L1">
        <f>AVERAGE(D4:D8)</f>
        <v>18.333333333333332</v>
      </c>
      <c r="M1" s="2">
        <v>0.06</v>
      </c>
    </row>
    <row r="2" spans="1:13" x14ac:dyDescent="0.25">
      <c r="A2">
        <v>0</v>
      </c>
      <c r="B2" s="4">
        <v>1</v>
      </c>
      <c r="C2" s="5" t="s">
        <v>35</v>
      </c>
      <c r="D2" s="11">
        <v>19</v>
      </c>
      <c r="E2" s="4">
        <v>0</v>
      </c>
      <c r="F2" s="4">
        <v>20</v>
      </c>
      <c r="G2" s="4" t="s">
        <v>36</v>
      </c>
    </row>
    <row r="3" spans="1:13" x14ac:dyDescent="0.25">
      <c r="A3" s="6">
        <v>1</v>
      </c>
      <c r="B3" s="7">
        <v>2</v>
      </c>
      <c r="C3" s="8" t="s">
        <v>35</v>
      </c>
      <c r="D3" s="12">
        <v>19</v>
      </c>
      <c r="E3" s="7">
        <v>0</v>
      </c>
      <c r="F3" s="7">
        <v>20</v>
      </c>
      <c r="G3" s="7" t="s">
        <v>36</v>
      </c>
    </row>
    <row r="4" spans="1:13" x14ac:dyDescent="0.25">
      <c r="A4" s="9">
        <v>2</v>
      </c>
      <c r="B4" s="4">
        <v>3</v>
      </c>
      <c r="C4" s="5" t="s">
        <v>35</v>
      </c>
      <c r="D4" s="11">
        <v>19</v>
      </c>
      <c r="E4" s="4">
        <v>0</v>
      </c>
      <c r="F4" s="4">
        <v>20</v>
      </c>
      <c r="G4" s="4" t="s">
        <v>36</v>
      </c>
    </row>
    <row r="5" spans="1:13" x14ac:dyDescent="0.25">
      <c r="A5" s="6">
        <v>3</v>
      </c>
      <c r="B5" s="7">
        <v>4</v>
      </c>
      <c r="C5" s="8" t="s">
        <v>35</v>
      </c>
      <c r="D5" s="12">
        <v>19</v>
      </c>
      <c r="E5" s="7">
        <v>0</v>
      </c>
      <c r="F5" s="7">
        <v>20</v>
      </c>
      <c r="G5" s="7" t="s">
        <v>36</v>
      </c>
    </row>
    <row r="6" spans="1:13" x14ac:dyDescent="0.25">
      <c r="A6" s="9">
        <v>4</v>
      </c>
      <c r="B6" s="4">
        <v>5</v>
      </c>
      <c r="C6" s="5" t="s">
        <v>35</v>
      </c>
      <c r="D6" s="11">
        <v>17</v>
      </c>
      <c r="E6" s="4">
        <v>0</v>
      </c>
      <c r="F6" s="4">
        <v>20</v>
      </c>
      <c r="G6" s="4" t="s">
        <v>36</v>
      </c>
    </row>
    <row r="8" spans="1:13" x14ac:dyDescent="0.25">
      <c r="A8" t="s">
        <v>49</v>
      </c>
      <c r="K8" t="str">
        <f>A8</f>
        <v>Books</v>
      </c>
      <c r="L8">
        <f>AVERAGE(D11:D15)</f>
        <v>11.6</v>
      </c>
      <c r="M8" s="2">
        <v>0.06</v>
      </c>
    </row>
    <row r="9" spans="1:13" ht="15.75" thickBot="1" x14ac:dyDescent="0.3">
      <c r="A9" s="13" t="s">
        <v>37</v>
      </c>
      <c r="B9" s="14" t="s">
        <v>38</v>
      </c>
      <c r="C9" s="14" t="s">
        <v>39</v>
      </c>
      <c r="D9" s="14" t="s">
        <v>40</v>
      </c>
      <c r="E9" s="14" t="s">
        <v>41</v>
      </c>
      <c r="F9" s="14" t="s">
        <v>42</v>
      </c>
      <c r="G9" s="14" t="s">
        <v>43</v>
      </c>
    </row>
    <row r="10" spans="1:13" x14ac:dyDescent="0.25">
      <c r="A10" s="15"/>
      <c r="B10" s="16"/>
      <c r="C10" s="16"/>
      <c r="D10" s="16"/>
      <c r="E10" s="16"/>
      <c r="F10" s="16"/>
      <c r="G10" s="16"/>
    </row>
    <row r="11" spans="1:13" x14ac:dyDescent="0.25">
      <c r="A11" s="9">
        <v>0</v>
      </c>
      <c r="B11" s="4">
        <v>1</v>
      </c>
      <c r="C11" s="5" t="s">
        <v>35</v>
      </c>
      <c r="D11" s="4">
        <v>12</v>
      </c>
      <c r="E11" s="4">
        <v>0</v>
      </c>
      <c r="F11" s="4">
        <v>19</v>
      </c>
      <c r="G11" s="4" t="s">
        <v>36</v>
      </c>
    </row>
    <row r="12" spans="1:13" x14ac:dyDescent="0.25">
      <c r="A12" s="6">
        <v>1</v>
      </c>
      <c r="B12" s="7">
        <v>2</v>
      </c>
      <c r="C12" s="8" t="s">
        <v>35</v>
      </c>
      <c r="D12" s="7">
        <v>11</v>
      </c>
      <c r="E12" s="7">
        <v>0</v>
      </c>
      <c r="F12" s="7">
        <v>19</v>
      </c>
      <c r="G12" s="7" t="s">
        <v>36</v>
      </c>
    </row>
    <row r="13" spans="1:13" x14ac:dyDescent="0.25">
      <c r="A13" s="9">
        <v>2</v>
      </c>
      <c r="B13" s="4">
        <v>3</v>
      </c>
      <c r="C13" s="5" t="s">
        <v>35</v>
      </c>
      <c r="D13" s="4">
        <v>12</v>
      </c>
      <c r="E13" s="4">
        <v>0</v>
      </c>
      <c r="F13" s="4">
        <v>19</v>
      </c>
      <c r="G13" s="4" t="s">
        <v>36</v>
      </c>
    </row>
    <row r="14" spans="1:13" x14ac:dyDescent="0.25">
      <c r="A14" s="6">
        <v>3</v>
      </c>
      <c r="B14" s="7">
        <v>4</v>
      </c>
      <c r="C14" s="8" t="s">
        <v>35</v>
      </c>
      <c r="D14" s="7">
        <v>12</v>
      </c>
      <c r="E14" s="7">
        <v>0</v>
      </c>
      <c r="F14" s="7">
        <v>19</v>
      </c>
      <c r="G14" s="7" t="s">
        <v>36</v>
      </c>
    </row>
    <row r="15" spans="1:13" x14ac:dyDescent="0.25">
      <c r="A15" s="9">
        <v>4</v>
      </c>
      <c r="B15" s="4">
        <v>5</v>
      </c>
      <c r="C15" s="5" t="s">
        <v>35</v>
      </c>
      <c r="D15" s="4">
        <v>11</v>
      </c>
      <c r="E15" s="4">
        <v>0</v>
      </c>
      <c r="F15" s="4">
        <v>19</v>
      </c>
      <c r="G15" s="4" t="s">
        <v>36</v>
      </c>
    </row>
    <row r="17" spans="1:13" x14ac:dyDescent="0.25">
      <c r="A17" t="s">
        <v>50</v>
      </c>
      <c r="K17" t="str">
        <f>A17</f>
        <v>Canvas paintings</v>
      </c>
      <c r="L17">
        <f>AVERAGE(D20:D24)</f>
        <v>19</v>
      </c>
      <c r="M17" s="2">
        <v>8.5000000000000006E-2</v>
      </c>
    </row>
    <row r="18" spans="1:13" ht="15.75" thickBot="1" x14ac:dyDescent="0.3">
      <c r="A18" s="13" t="s">
        <v>37</v>
      </c>
      <c r="B18" s="14" t="s">
        <v>38</v>
      </c>
      <c r="C18" s="14" t="s">
        <v>39</v>
      </c>
      <c r="D18" s="14" t="s">
        <v>40</v>
      </c>
      <c r="E18" s="14" t="s">
        <v>41</v>
      </c>
      <c r="F18" s="14" t="s">
        <v>42</v>
      </c>
      <c r="G18" s="14" t="s">
        <v>43</v>
      </c>
    </row>
    <row r="19" spans="1:13" x14ac:dyDescent="0.25">
      <c r="A19" s="15"/>
      <c r="B19" s="16"/>
      <c r="C19" s="16"/>
      <c r="D19" s="16"/>
      <c r="E19" s="16"/>
      <c r="F19" s="16"/>
      <c r="G19" s="16"/>
    </row>
    <row r="20" spans="1:13" x14ac:dyDescent="0.25">
      <c r="A20" s="9">
        <v>0</v>
      </c>
      <c r="B20" s="4">
        <v>1</v>
      </c>
      <c r="C20" s="5" t="s">
        <v>35</v>
      </c>
      <c r="D20" s="4">
        <v>19</v>
      </c>
      <c r="E20" s="4">
        <v>0</v>
      </c>
      <c r="F20" s="4">
        <v>19</v>
      </c>
      <c r="G20" s="4" t="s">
        <v>36</v>
      </c>
    </row>
    <row r="21" spans="1:13" x14ac:dyDescent="0.25">
      <c r="A21" s="6">
        <v>1</v>
      </c>
      <c r="B21" s="7">
        <v>2</v>
      </c>
      <c r="C21" s="8" t="s">
        <v>35</v>
      </c>
      <c r="D21" s="7">
        <v>19</v>
      </c>
      <c r="E21" s="7">
        <v>0</v>
      </c>
      <c r="F21" s="7">
        <v>19</v>
      </c>
      <c r="G21" s="7" t="s">
        <v>36</v>
      </c>
    </row>
    <row r="22" spans="1:13" x14ac:dyDescent="0.25">
      <c r="A22" s="9">
        <v>2</v>
      </c>
      <c r="B22" s="4">
        <v>3</v>
      </c>
      <c r="C22" s="5" t="s">
        <v>35</v>
      </c>
      <c r="D22" s="4">
        <v>20</v>
      </c>
      <c r="E22" s="4">
        <v>0</v>
      </c>
      <c r="F22" s="4">
        <v>19</v>
      </c>
      <c r="G22" s="4" t="s">
        <v>36</v>
      </c>
    </row>
    <row r="23" spans="1:13" x14ac:dyDescent="0.25">
      <c r="A23" s="6">
        <v>3</v>
      </c>
      <c r="B23" s="7">
        <v>4</v>
      </c>
      <c r="C23" s="8" t="s">
        <v>35</v>
      </c>
      <c r="D23" s="7">
        <v>18</v>
      </c>
      <c r="E23" s="7">
        <v>0</v>
      </c>
      <c r="F23" s="7">
        <v>19</v>
      </c>
      <c r="G23" s="7" t="s">
        <v>36</v>
      </c>
    </row>
    <row r="24" spans="1:13" x14ac:dyDescent="0.25">
      <c r="A24" s="9">
        <v>4</v>
      </c>
      <c r="B24" s="4">
        <v>5</v>
      </c>
      <c r="C24" s="5" t="s">
        <v>35</v>
      </c>
      <c r="D24" s="4">
        <v>19</v>
      </c>
      <c r="E24" s="4">
        <v>0</v>
      </c>
      <c r="F24" s="4">
        <v>19</v>
      </c>
      <c r="G24" s="4" t="s">
        <v>36</v>
      </c>
    </row>
    <row r="26" spans="1:13" x14ac:dyDescent="0.25">
      <c r="A26" t="s">
        <v>44</v>
      </c>
      <c r="K26" t="str">
        <f>A26</f>
        <v>Iron collectible items</v>
      </c>
      <c r="L26">
        <f>AVERAGE(D29:D33)</f>
        <v>18.2</v>
      </c>
      <c r="M26" s="2">
        <v>8.5000000000000006E-2</v>
      </c>
    </row>
    <row r="27" spans="1:13" ht="15.75" thickBot="1" x14ac:dyDescent="0.3">
      <c r="A27" s="13" t="s">
        <v>37</v>
      </c>
      <c r="B27" s="14" t="s">
        <v>38</v>
      </c>
      <c r="C27" s="14" t="s">
        <v>39</v>
      </c>
      <c r="D27" s="14" t="s">
        <v>40</v>
      </c>
      <c r="E27" s="14" t="s">
        <v>41</v>
      </c>
      <c r="F27" s="14" t="s">
        <v>42</v>
      </c>
      <c r="G27" s="14" t="s">
        <v>43</v>
      </c>
    </row>
    <row r="28" spans="1:13" x14ac:dyDescent="0.25">
      <c r="A28" s="15"/>
      <c r="B28" s="16"/>
      <c r="C28" s="16"/>
      <c r="D28" s="16"/>
      <c r="E28" s="16"/>
      <c r="F28" s="16"/>
      <c r="G28" s="16"/>
    </row>
    <row r="29" spans="1:13" x14ac:dyDescent="0.25">
      <c r="A29" s="9">
        <v>0</v>
      </c>
      <c r="B29" s="4">
        <v>1</v>
      </c>
      <c r="C29" s="5" t="s">
        <v>35</v>
      </c>
      <c r="D29" s="4">
        <v>18</v>
      </c>
      <c r="E29" s="4">
        <v>0</v>
      </c>
      <c r="F29" s="4">
        <v>20</v>
      </c>
      <c r="G29" s="4" t="s">
        <v>36</v>
      </c>
    </row>
    <row r="30" spans="1:13" x14ac:dyDescent="0.25">
      <c r="A30" s="6">
        <v>1</v>
      </c>
      <c r="B30" s="7">
        <v>2</v>
      </c>
      <c r="C30" s="8" t="s">
        <v>35</v>
      </c>
      <c r="D30" s="7">
        <v>18</v>
      </c>
      <c r="E30" s="7">
        <v>0</v>
      </c>
      <c r="F30" s="7">
        <v>20</v>
      </c>
      <c r="G30" s="7" t="s">
        <v>36</v>
      </c>
    </row>
    <row r="31" spans="1:13" x14ac:dyDescent="0.25">
      <c r="A31" s="9">
        <v>2</v>
      </c>
      <c r="B31" s="4">
        <v>3</v>
      </c>
      <c r="C31" s="5" t="s">
        <v>35</v>
      </c>
      <c r="D31" s="4">
        <v>18</v>
      </c>
      <c r="E31" s="4">
        <v>0</v>
      </c>
      <c r="F31" s="4">
        <v>20</v>
      </c>
      <c r="G31" s="4" t="s">
        <v>36</v>
      </c>
    </row>
    <row r="32" spans="1:13" x14ac:dyDescent="0.25">
      <c r="A32" s="6">
        <v>3</v>
      </c>
      <c r="B32" s="7">
        <v>4</v>
      </c>
      <c r="C32" s="8" t="s">
        <v>35</v>
      </c>
      <c r="D32" s="7">
        <v>18</v>
      </c>
      <c r="E32" s="7">
        <v>0</v>
      </c>
      <c r="F32" s="7">
        <v>20</v>
      </c>
      <c r="G32" s="7" t="s">
        <v>36</v>
      </c>
    </row>
    <row r="33" spans="1:13" x14ac:dyDescent="0.25">
      <c r="A33" s="9">
        <v>4</v>
      </c>
      <c r="B33" s="4">
        <v>5</v>
      </c>
      <c r="C33" s="5" t="s">
        <v>35</v>
      </c>
      <c r="D33" s="4">
        <v>19</v>
      </c>
      <c r="E33" s="4">
        <v>0</v>
      </c>
      <c r="F33" s="4">
        <v>20</v>
      </c>
      <c r="G33" s="4" t="s">
        <v>36</v>
      </c>
    </row>
    <row r="34" spans="1:13" x14ac:dyDescent="0.25">
      <c r="A34" s="9"/>
      <c r="B34" s="5"/>
      <c r="C34" s="5"/>
      <c r="D34" s="5"/>
      <c r="E34" s="5"/>
      <c r="F34" s="5"/>
      <c r="G34" s="5"/>
    </row>
    <row r="35" spans="1:13" x14ac:dyDescent="0.25">
      <c r="A35" t="s">
        <v>45</v>
      </c>
      <c r="K35" t="str">
        <f>A35</f>
        <v>Musical instruments</v>
      </c>
      <c r="L35">
        <f>AVERAGE(D38:D42)</f>
        <v>19.2</v>
      </c>
      <c r="M35" s="2">
        <v>7.4999999999999997E-2</v>
      </c>
    </row>
    <row r="36" spans="1:13" ht="15.75" thickBot="1" x14ac:dyDescent="0.3">
      <c r="A36" s="13" t="s">
        <v>37</v>
      </c>
      <c r="B36" s="14" t="s">
        <v>38</v>
      </c>
      <c r="C36" s="14" t="s">
        <v>39</v>
      </c>
      <c r="D36" s="14" t="s">
        <v>40</v>
      </c>
      <c r="E36" s="14" t="s">
        <v>41</v>
      </c>
      <c r="F36" s="14" t="s">
        <v>42</v>
      </c>
      <c r="G36" s="14" t="s">
        <v>43</v>
      </c>
    </row>
    <row r="37" spans="1:13" x14ac:dyDescent="0.25">
      <c r="A37" s="15"/>
      <c r="B37" s="16"/>
      <c r="C37" s="16"/>
      <c r="D37" s="16"/>
      <c r="E37" s="16"/>
      <c r="F37" s="16"/>
      <c r="G37" s="16"/>
    </row>
    <row r="38" spans="1:13" x14ac:dyDescent="0.25">
      <c r="A38" s="9">
        <v>0</v>
      </c>
      <c r="B38" s="4">
        <v>1</v>
      </c>
      <c r="C38" s="5" t="s">
        <v>35</v>
      </c>
      <c r="D38" s="4">
        <v>20</v>
      </c>
      <c r="E38" s="4">
        <v>0</v>
      </c>
      <c r="F38" s="4">
        <v>19</v>
      </c>
      <c r="G38" s="4" t="s">
        <v>36</v>
      </c>
    </row>
    <row r="39" spans="1:13" x14ac:dyDescent="0.25">
      <c r="A39" s="6">
        <v>1</v>
      </c>
      <c r="B39" s="7">
        <v>2</v>
      </c>
      <c r="C39" s="8" t="s">
        <v>35</v>
      </c>
      <c r="D39" s="7">
        <v>19</v>
      </c>
      <c r="E39" s="7">
        <v>0</v>
      </c>
      <c r="F39" s="7">
        <v>19</v>
      </c>
      <c r="G39" s="7" t="s">
        <v>36</v>
      </c>
    </row>
    <row r="40" spans="1:13" x14ac:dyDescent="0.25">
      <c r="A40" s="9">
        <v>2</v>
      </c>
      <c r="B40" s="4">
        <v>3</v>
      </c>
      <c r="C40" s="5" t="s">
        <v>35</v>
      </c>
      <c r="D40" s="4">
        <v>17</v>
      </c>
      <c r="E40" s="4">
        <v>0</v>
      </c>
      <c r="F40" s="4">
        <v>19</v>
      </c>
      <c r="G40" s="4" t="s">
        <v>36</v>
      </c>
    </row>
    <row r="41" spans="1:13" x14ac:dyDescent="0.25">
      <c r="A41" s="6">
        <v>3</v>
      </c>
      <c r="B41" s="7">
        <v>4</v>
      </c>
      <c r="C41" s="8" t="s">
        <v>35</v>
      </c>
      <c r="D41" s="7">
        <v>19</v>
      </c>
      <c r="E41" s="7">
        <v>0</v>
      </c>
      <c r="F41" s="7">
        <v>19</v>
      </c>
      <c r="G41" s="7" t="s">
        <v>36</v>
      </c>
    </row>
    <row r="42" spans="1:13" x14ac:dyDescent="0.25">
      <c r="A42" s="9">
        <v>4</v>
      </c>
      <c r="B42" s="4">
        <v>5</v>
      </c>
      <c r="C42" s="5" t="s">
        <v>35</v>
      </c>
      <c r="D42" s="4">
        <v>21</v>
      </c>
      <c r="E42" s="4">
        <v>0</v>
      </c>
      <c r="F42" s="4">
        <v>19</v>
      </c>
      <c r="G42" s="4" t="s">
        <v>36</v>
      </c>
    </row>
    <row r="44" spans="1:13" x14ac:dyDescent="0.25">
      <c r="A44" t="s">
        <v>46</v>
      </c>
      <c r="K44" t="str">
        <f>A44</f>
        <v>Watches</v>
      </c>
      <c r="L44">
        <f>AVERAGE(D47:D51)</f>
        <v>16</v>
      </c>
      <c r="M44" s="2">
        <v>0.08</v>
      </c>
    </row>
    <row r="45" spans="1:13" ht="15.75" thickBot="1" x14ac:dyDescent="0.3">
      <c r="A45" s="13" t="s">
        <v>37</v>
      </c>
      <c r="B45" s="14" t="s">
        <v>38</v>
      </c>
      <c r="C45" s="14" t="s">
        <v>39</v>
      </c>
      <c r="D45" s="14" t="s">
        <v>40</v>
      </c>
      <c r="E45" s="14" t="s">
        <v>41</v>
      </c>
      <c r="F45" s="14" t="s">
        <v>42</v>
      </c>
      <c r="G45" s="14" t="s">
        <v>43</v>
      </c>
    </row>
    <row r="46" spans="1:13" x14ac:dyDescent="0.25">
      <c r="A46" s="15"/>
      <c r="B46" s="16"/>
      <c r="C46" s="16"/>
      <c r="D46" s="16"/>
      <c r="E46" s="16"/>
      <c r="F46" s="16"/>
      <c r="G46" s="16"/>
    </row>
    <row r="47" spans="1:13" x14ac:dyDescent="0.25">
      <c r="A47" s="9">
        <v>0</v>
      </c>
      <c r="B47" s="4">
        <v>1</v>
      </c>
      <c r="C47" s="5" t="s">
        <v>35</v>
      </c>
      <c r="D47" s="4">
        <v>16</v>
      </c>
      <c r="E47" s="4">
        <v>0</v>
      </c>
      <c r="F47" s="4">
        <v>19</v>
      </c>
      <c r="G47" s="4" t="s">
        <v>36</v>
      </c>
    </row>
    <row r="48" spans="1:13" x14ac:dyDescent="0.25">
      <c r="A48" s="6">
        <v>1</v>
      </c>
      <c r="B48" s="7">
        <v>2</v>
      </c>
      <c r="C48" s="8" t="s">
        <v>35</v>
      </c>
      <c r="D48" s="7">
        <v>16</v>
      </c>
      <c r="E48" s="7">
        <v>0</v>
      </c>
      <c r="F48" s="7">
        <v>19</v>
      </c>
      <c r="G48" s="7" t="s">
        <v>36</v>
      </c>
    </row>
    <row r="49" spans="1:13" x14ac:dyDescent="0.25">
      <c r="A49" s="9">
        <v>2</v>
      </c>
      <c r="B49" s="4">
        <v>3</v>
      </c>
      <c r="C49" s="5" t="s">
        <v>35</v>
      </c>
      <c r="D49" s="4">
        <v>16</v>
      </c>
      <c r="E49" s="4">
        <v>0</v>
      </c>
      <c r="F49" s="4">
        <v>19</v>
      </c>
      <c r="G49" s="4" t="s">
        <v>36</v>
      </c>
    </row>
    <row r="50" spans="1:13" x14ac:dyDescent="0.25">
      <c r="A50" s="6">
        <v>3</v>
      </c>
      <c r="B50" s="7">
        <v>4</v>
      </c>
      <c r="C50" s="8" t="s">
        <v>35</v>
      </c>
      <c r="D50" s="7">
        <v>16</v>
      </c>
      <c r="E50" s="7">
        <v>0</v>
      </c>
      <c r="F50" s="7">
        <v>19</v>
      </c>
      <c r="G50" s="7" t="s">
        <v>36</v>
      </c>
    </row>
    <row r="51" spans="1:13" x14ac:dyDescent="0.25">
      <c r="A51" s="9">
        <v>4</v>
      </c>
      <c r="B51" s="4">
        <v>5</v>
      </c>
      <c r="C51" s="5" t="s">
        <v>35</v>
      </c>
      <c r="D51" s="4">
        <v>16</v>
      </c>
      <c r="E51" s="4">
        <v>0</v>
      </c>
      <c r="F51" s="4">
        <v>19</v>
      </c>
      <c r="G51" s="4" t="s">
        <v>36</v>
      </c>
    </row>
    <row r="52" spans="1:13" x14ac:dyDescent="0.25">
      <c r="A52" t="s">
        <v>47</v>
      </c>
      <c r="K52" t="str">
        <f>A52</f>
        <v>Laptops</v>
      </c>
      <c r="L52">
        <f>AVERAGE(D55:D59)</f>
        <v>18.2</v>
      </c>
      <c r="M52" s="2">
        <v>0.06</v>
      </c>
    </row>
    <row r="53" spans="1:13" ht="15.75" thickBot="1" x14ac:dyDescent="0.3">
      <c r="A53" s="13" t="s">
        <v>37</v>
      </c>
      <c r="B53" s="14" t="s">
        <v>38</v>
      </c>
      <c r="C53" s="14" t="s">
        <v>39</v>
      </c>
      <c r="D53" s="14" t="s">
        <v>40</v>
      </c>
      <c r="E53" s="14" t="s">
        <v>41</v>
      </c>
      <c r="F53" s="14" t="s">
        <v>42</v>
      </c>
      <c r="G53" s="14" t="s">
        <v>43</v>
      </c>
    </row>
    <row r="54" spans="1:13" x14ac:dyDescent="0.25">
      <c r="A54" s="15"/>
      <c r="B54" s="16"/>
      <c r="C54" s="16"/>
      <c r="D54" s="16"/>
      <c r="E54" s="16"/>
      <c r="F54" s="16"/>
      <c r="G54" s="16"/>
    </row>
    <row r="55" spans="1:13" x14ac:dyDescent="0.25">
      <c r="A55" s="9">
        <v>0</v>
      </c>
      <c r="B55" s="4">
        <v>1</v>
      </c>
      <c r="C55" s="5" t="s">
        <v>35</v>
      </c>
      <c r="D55" s="4">
        <v>17</v>
      </c>
      <c r="E55" s="4">
        <v>0</v>
      </c>
      <c r="F55" s="4">
        <v>20</v>
      </c>
      <c r="G55" s="4" t="s">
        <v>36</v>
      </c>
    </row>
    <row r="56" spans="1:13" x14ac:dyDescent="0.25">
      <c r="A56" s="6">
        <v>1</v>
      </c>
      <c r="B56" s="7">
        <v>2</v>
      </c>
      <c r="C56" s="8" t="s">
        <v>35</v>
      </c>
      <c r="D56" s="7">
        <v>18</v>
      </c>
      <c r="E56" s="7">
        <v>0</v>
      </c>
      <c r="F56" s="7">
        <v>22</v>
      </c>
      <c r="G56" s="7" t="s">
        <v>36</v>
      </c>
    </row>
    <row r="57" spans="1:13" x14ac:dyDescent="0.25">
      <c r="A57" s="9">
        <v>2</v>
      </c>
      <c r="B57" s="4">
        <v>3</v>
      </c>
      <c r="C57" s="5" t="s">
        <v>35</v>
      </c>
      <c r="D57" s="4">
        <v>18</v>
      </c>
      <c r="E57" s="4">
        <v>0</v>
      </c>
      <c r="F57" s="4">
        <v>22</v>
      </c>
      <c r="G57" s="4" t="s">
        <v>36</v>
      </c>
    </row>
    <row r="58" spans="1:13" x14ac:dyDescent="0.25">
      <c r="A58" s="6">
        <v>3</v>
      </c>
      <c r="B58" s="7">
        <v>4</v>
      </c>
      <c r="C58" s="8" t="s">
        <v>35</v>
      </c>
      <c r="D58" s="7">
        <v>19</v>
      </c>
      <c r="E58" s="7">
        <v>0</v>
      </c>
      <c r="F58" s="7">
        <v>22</v>
      </c>
      <c r="G58" s="7" t="s">
        <v>36</v>
      </c>
    </row>
    <row r="59" spans="1:13" x14ac:dyDescent="0.25">
      <c r="A59" s="9">
        <v>4</v>
      </c>
      <c r="B59" s="4">
        <v>5</v>
      </c>
      <c r="C59" s="5" t="s">
        <v>35</v>
      </c>
      <c r="D59" s="4">
        <v>19</v>
      </c>
      <c r="E59" s="4">
        <v>0</v>
      </c>
      <c r="F59" s="4">
        <v>22</v>
      </c>
      <c r="G59" s="4" t="s">
        <v>36</v>
      </c>
    </row>
    <row r="60" spans="1:13" x14ac:dyDescent="0.25">
      <c r="A60" t="s">
        <v>51</v>
      </c>
      <c r="K60" t="str">
        <f>A60</f>
        <v>Software</v>
      </c>
      <c r="L60">
        <f>AVERAGE(D63:D67)</f>
        <v>24</v>
      </c>
      <c r="M60" s="2">
        <v>0.06</v>
      </c>
    </row>
    <row r="61" spans="1:13" ht="15.75" thickBot="1" x14ac:dyDescent="0.3">
      <c r="A61" s="13" t="s">
        <v>37</v>
      </c>
      <c r="B61" s="14" t="s">
        <v>38</v>
      </c>
      <c r="C61" s="14" t="s">
        <v>39</v>
      </c>
      <c r="D61" s="14" t="s">
        <v>40</v>
      </c>
      <c r="E61" s="14" t="s">
        <v>41</v>
      </c>
      <c r="F61" s="14" t="s">
        <v>42</v>
      </c>
      <c r="G61" s="14" t="s">
        <v>43</v>
      </c>
    </row>
    <row r="62" spans="1:13" x14ac:dyDescent="0.25">
      <c r="A62" s="15"/>
      <c r="B62" s="16"/>
      <c r="C62" s="16"/>
      <c r="D62" s="16"/>
      <c r="E62" s="16"/>
      <c r="F62" s="16"/>
      <c r="G62" s="16"/>
    </row>
    <row r="63" spans="1:13" x14ac:dyDescent="0.25">
      <c r="A63" s="9">
        <v>0</v>
      </c>
      <c r="B63" s="4">
        <v>1</v>
      </c>
      <c r="C63" s="5" t="s">
        <v>35</v>
      </c>
      <c r="D63" s="4">
        <v>24</v>
      </c>
      <c r="E63" s="4">
        <v>0</v>
      </c>
      <c r="F63" s="4">
        <v>25</v>
      </c>
      <c r="G63" s="4" t="s">
        <v>36</v>
      </c>
    </row>
    <row r="64" spans="1:13" x14ac:dyDescent="0.25">
      <c r="A64" s="6">
        <v>1</v>
      </c>
      <c r="B64" s="7">
        <v>2</v>
      </c>
      <c r="C64" s="8" t="s">
        <v>35</v>
      </c>
      <c r="D64" s="7">
        <v>25</v>
      </c>
      <c r="E64" s="7">
        <v>0</v>
      </c>
      <c r="F64" s="7">
        <v>25</v>
      </c>
      <c r="G64" s="7" t="s">
        <v>36</v>
      </c>
    </row>
    <row r="65" spans="1:7" x14ac:dyDescent="0.25">
      <c r="A65" s="9">
        <v>2</v>
      </c>
      <c r="B65" s="4">
        <v>3</v>
      </c>
      <c r="C65" s="5" t="s">
        <v>35</v>
      </c>
      <c r="D65" s="4">
        <v>25</v>
      </c>
      <c r="E65" s="4">
        <v>0</v>
      </c>
      <c r="F65" s="4">
        <v>25</v>
      </c>
      <c r="G65" s="4" t="s">
        <v>36</v>
      </c>
    </row>
    <row r="66" spans="1:7" x14ac:dyDescent="0.25">
      <c r="A66" s="6">
        <v>3</v>
      </c>
      <c r="B66" s="7">
        <v>4</v>
      </c>
      <c r="C66" s="8" t="s">
        <v>35</v>
      </c>
      <c r="D66" s="7">
        <v>24</v>
      </c>
      <c r="E66" s="7">
        <v>0</v>
      </c>
      <c r="F66" s="7">
        <v>25</v>
      </c>
      <c r="G66" s="7" t="s">
        <v>36</v>
      </c>
    </row>
    <row r="67" spans="1:7" x14ac:dyDescent="0.25">
      <c r="A67" s="9">
        <v>4</v>
      </c>
      <c r="B67" s="4">
        <v>5</v>
      </c>
      <c r="C67" s="5" t="s">
        <v>35</v>
      </c>
      <c r="D67" s="4">
        <v>22</v>
      </c>
      <c r="E67" s="4">
        <v>0</v>
      </c>
      <c r="F67" s="4">
        <v>25</v>
      </c>
      <c r="G67" s="4" t="s">
        <v>36</v>
      </c>
    </row>
  </sheetData>
  <pageMargins left="0.7" right="0.7" top="0.78740157499999996" bottom="0.78740157499999996" header="0.3" footer="0.3"/>
  <pageSetup paperSize="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3:C22"/>
  <sheetViews>
    <sheetView workbookViewId="0">
      <selection sqref="A1:D12"/>
    </sheetView>
  </sheetViews>
  <sheetFormatPr defaultRowHeight="15" x14ac:dyDescent="0.25"/>
  <cols>
    <col min="1" max="1" width="18.7109375" customWidth="1"/>
  </cols>
  <sheetData>
    <row r="13" spans="3:3" x14ac:dyDescent="0.25">
      <c r="C13" s="2"/>
    </row>
    <row r="14" spans="3:3" x14ac:dyDescent="0.25">
      <c r="C14" s="2"/>
    </row>
    <row r="15" spans="3:3" x14ac:dyDescent="0.25">
      <c r="C15" s="2"/>
    </row>
    <row r="16" spans="3:3" x14ac:dyDescent="0.25">
      <c r="C16" s="2"/>
    </row>
    <row r="17" spans="3:3" x14ac:dyDescent="0.25">
      <c r="C17" s="2"/>
    </row>
    <row r="18" spans="3:3" x14ac:dyDescent="0.25">
      <c r="C18" s="2"/>
    </row>
    <row r="19" spans="3:3" x14ac:dyDescent="0.25">
      <c r="C19" s="2"/>
    </row>
    <row r="20" spans="3:3" x14ac:dyDescent="0.25">
      <c r="C20" s="2"/>
    </row>
    <row r="21" spans="3:3" x14ac:dyDescent="0.25">
      <c r="C21" s="2"/>
    </row>
    <row r="22" spans="3:3" x14ac:dyDescent="0.25">
      <c r="C22" s="2"/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6</vt:i4>
      </vt:variant>
    </vt:vector>
  </HeadingPairs>
  <TitlesOfParts>
    <vt:vector size="6" baseType="lpstr">
      <vt:lpstr>AukroViceMetrik</vt:lpstr>
      <vt:lpstr>AukroVíceMetrik_Raw</vt:lpstr>
      <vt:lpstr>eBay overtime</vt:lpstr>
      <vt:lpstr>AukroPokus3</vt:lpstr>
      <vt:lpstr>AukroPokus1</vt:lpstr>
      <vt:lpstr>Aukropokus2</vt:lpstr>
    </vt:vector>
  </TitlesOfParts>
  <Company>KDF MFF UK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Tereza Hofrichterová</dc:creator>
  <cp:lastModifiedBy>Tereza Hofrichterová</cp:lastModifiedBy>
  <dcterms:created xsi:type="dcterms:W3CDTF">2026-04-01T08:04:56Z</dcterms:created>
  <dcterms:modified xsi:type="dcterms:W3CDTF">2026-04-07T11:30:28Z</dcterms:modified>
</cp:coreProperties>
</file>